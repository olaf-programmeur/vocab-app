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8C67E9B0-8969-4D9E-8A85-70BE1467520B}" xr6:coauthVersionLast="36" xr6:coauthVersionMax="36" xr10:uidLastSave="{00000000-0000-0000-0000-000000000000}"/>
  <bookViews>
    <workbookView xWindow="0" yWindow="0" windowWidth="23040" windowHeight="8472" firstSheet="11" activeTab="1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92" i="13" l="1"/>
  <c r="B209" i="13"/>
  <c r="B208" i="13"/>
  <c r="B228" i="13"/>
  <c r="B210" i="13"/>
  <c r="B203" i="13"/>
  <c r="B202" i="13"/>
  <c r="B200" i="13"/>
  <c r="B204" i="13"/>
  <c r="B194" i="13"/>
  <c r="B195" i="13"/>
  <c r="B197" i="13"/>
  <c r="B201" i="13"/>
  <c r="B193" i="13"/>
  <c r="B206" i="13"/>
  <c r="B224" i="13"/>
  <c r="B199" i="13"/>
  <c r="B213" i="13"/>
  <c r="B207" i="13"/>
  <c r="B198" i="13"/>
  <c r="B223" i="13"/>
  <c r="B205" i="13"/>
  <c r="B222" i="13"/>
  <c r="B221" i="13"/>
  <c r="B225" i="13"/>
  <c r="B218" i="13"/>
  <c r="B196" i="13"/>
  <c r="B220" i="13"/>
  <c r="B219" i="13"/>
  <c r="B217" i="13"/>
  <c r="B227" i="13"/>
  <c r="B226" i="13"/>
  <c r="B216" i="13"/>
  <c r="B215" i="13"/>
  <c r="B214" i="13"/>
  <c r="B212" i="13"/>
  <c r="B211" i="13"/>
  <c r="B191" i="13"/>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<sst xmlns="http://schemas.openxmlformats.org/spreadsheetml/2006/main" count="28217" uniqueCount="10392">
  <si>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</si>
  <si>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</si>
  <si>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</si>
  <si>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</si>
  <si>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</si>
  <si>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</si>
  <si>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</si>
  <si>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</si>
  <si>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</si>
  <si>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</si>
  <si>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</si>
  <si>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</si>
  <si>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</si>
  <si>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</si>
  <si>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</si>
  <si>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</si>
  <si>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</si>
  <si>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</si>
  <si>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</si>
  <si>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</si>
  <si>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</si>
  <si>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</si>
  <si>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</si>
  <si>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</si>
  <si>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</si>
  <si>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</si>
  <si>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</si>
  <si>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</si>
  <si>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</si>
  <si>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</si>
  <si>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</si>
  <si>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</si>
  <si>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</si>
  <si>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</si>
  <si>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</si>
  <si>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</si>
  <si>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</si>
  <si>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</si>
  <si>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</si>
  <si>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</si>
  <si>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</si>
  <si>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</si>
  <si>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</si>
  <si>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</si>
  <si>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</si>
  <si>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</si>
  <si>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</si>
  <si>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</si>
  <si>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</si>
  <si>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</si>
  <si>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</si>
  <si>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</si>
  <si>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</si>
  <si>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</si>
  <si>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</si>
  <si>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</si>
  <si>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</si>
  <si>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</si>
  <si>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</si>
  <si>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</si>
  <si>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</si>
  <si>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</si>
  <si>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</si>
  <si>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</si>
  <si>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</si>
  <si>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</si>
  <si>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</si>
  <si>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</si>
  <si>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</si>
  <si>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</si>
  <si>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</si>
  <si>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</si>
  <si>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</si>
  <si>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</si>
  <si>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</si>
  <si>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</si>
  <si>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</si>
  <si>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</si>
  <si>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</si>
  <si>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</si>
  <si>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</si>
  <si>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</si>
  <si>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</si>
  <si>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</si>
  <si>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</si>
  <si>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</si>
  <si>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</si>
  <si>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</si>
  <si>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</si>
  <si>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</si>
  <si>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</si>
  <si>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</si>
  <si>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</si>
  <si>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</si>
  <si>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</si>
  <si>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</si>
  <si>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</si>
  <si>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</si>
  <si>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</si>
  <si>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</si>
  <si>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</si>
  <si>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</si>
  <si>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</si>
  <si>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</si>
  <si>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</si>
  <si>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</si>
  <si>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</si>
  <si>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</si>
  <si>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</si>
  <si>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</si>
  <si>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</si>
  <si>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</si>
  <si>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</si>
  <si>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</si>
  <si>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</si>
  <si>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</si>
  <si>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</si>
  <si>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</si>
  <si>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</si>
  <si>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</si>
  <si>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</si>
  <si>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</si>
  <si>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</si>
  <si>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</si>
  <si>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</si>
  <si>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</si>
  <si>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</si>
  <si>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</si>
  <si>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</si>
  <si>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</si>
  <si>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</si>
  <si>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</si>
  <si>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</si>
  <si>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</si>
  <si>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</si>
  <si>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</si>
  <si>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</si>
  <si>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</si>
  <si>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</si>
  <si>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</si>
  <si>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</si>
  <si>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</si>
  <si>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</si>
  <si>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</si>
  <si>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</si>
  <si>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</si>
  <si>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</si>
  <si>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</si>
  <si>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</si>
  <si>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</si>
  <si>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</si>
  <si>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</si>
  <si>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</si>
  <si>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</si>
  <si>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</si>
  <si>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</si>
  <si>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</si>
  <si>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</si>
  <si>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</si>
  <si>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</si>
  <si>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</si>
  <si>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</si>
  <si>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</si>
  <si>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</si>
  <si>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</si>
  <si>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</si>
  <si>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</si>
  <si>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</si>
  <si>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</si>
  <si>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</si>
  <si>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</si>
  <si>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</si>
  <si>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</si>
  <si>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</si>
  <si>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</si>
  <si>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</si>
  <si>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</si>
  <si>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</si>
  <si>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</si>
  <si>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</si>
  <si>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</si>
  <si>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</si>
  <si>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</si>
  <si>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</si>
  <si>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</si>
  <si>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</si>
  <si>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</si>
  <si>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</si>
  <si>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</si>
  <si>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</si>
  <si>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</si>
  <si>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</si>
  <si>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</si>
  <si>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</si>
  <si>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</si>
  <si>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</si>
  <si>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</si>
  <si>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</si>
  <si>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</si>
  <si>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</si>
  <si>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</si>
  <si>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</si>
  <si>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</si>
  <si>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</si>
  <si>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</si>
  <si>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</si>
  <si>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</si>
  <si>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</si>
  <si>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</si>
  <si>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</si>
  <si>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</si>
  <si>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</si>
  <si>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</si>
  <si>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</si>
  <si>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</si>
  <si>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</si>
  <si>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</si>
  <si>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</si>
  <si>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</si>
  <si>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</si>
  <si>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</si>
  <si>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</si>
  <si>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</si>
  <si>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</si>
  <si>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</si>
  <si>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</si>
  <si>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</si>
  <si>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</si>
  <si>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</si>
  <si>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</si>
  <si>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</si>
  <si>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</si>
  <si>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</si>
  <si>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</si>
  <si>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</si>
  <si>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</si>
  <si>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</si>
  <si>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</si>
  <si>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</si>
  <si>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</si>
  <si>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</si>
  <si>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</si>
  <si>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</si>
  <si>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</si>
  <si>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</si>
  <si>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</si>
  <si>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</si>
  <si>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</si>
  <si>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</si>
  <si>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</si>
  <si>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</si>
  <si>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</si>
  <si>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</si>
  <si>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</si>
  <si>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</si>
  <si>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</si>
  <si>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</si>
  <si>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</si>
  <si>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</si>
  <si>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</si>
  <si>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</si>
  <si>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</si>
  <si>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</si>
  <si>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</si>
  <si>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</si>
  <si>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</si>
  <si>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</si>
  <si>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</si>
  <si>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</si>
  <si>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</si>
  <si>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</si>
  <si>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</si>
  <si>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</si>
  <si>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</si>
  <si>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</si>
  <si>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</si>
  <si>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</si>
  <si>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</si>
  <si>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</si>
  <si>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</si>
  <si>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</si>
  <si>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</si>
  <si>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</si>
  <si>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</si>
  <si>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</si>
  <si>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</si>
  <si>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</si>
  <si>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</si>
  <si>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</si>
  <si>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</si>
  <si>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</si>
  <si>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</si>
  <si>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</si>
  <si>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</si>
  <si>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</si>
  <si>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</si>
  <si>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</si>
  <si>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</si>
  <si>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</si>
  <si>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</si>
  <si>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</si>
  <si>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</si>
  <si>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</si>
  <si>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</si>
  <si>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</si>
  <si>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</si>
  <si>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</si>
  <si>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</si>
  <si>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</si>
  <si>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</si>
  <si>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</si>
  <si>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</si>
  <si>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</si>
  <si>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</si>
  <si>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</si>
  <si>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</si>
  <si>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</si>
  <si>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</si>
  <si>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</si>
  <si>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</si>
  <si>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</si>
  <si>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</si>
  <si>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</si>
  <si>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</si>
  <si>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</si>
  <si>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</si>
  <si>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</si>
  <si>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</si>
  <si>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</si>
  <si>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</si>
  <si>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</si>
  <si>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</si>
  <si>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</si>
  <si>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</si>
  <si>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</si>
  <si>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</si>
  <si>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</si>
  <si>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</si>
  <si>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</si>
  <si>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</si>
  <si>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</si>
  <si>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</si>
  <si>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</si>
  <si>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</si>
  <si>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</si>
  <si>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</si>
  <si>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</si>
  <si>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</si>
  <si>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</si>
  <si>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</si>
  <si>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</si>
  <si>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</si>
  <si>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</si>
  <si>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</si>
  <si>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</si>
  <si>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</si>
  <si>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</si>
  <si>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</si>
  <si>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</si>
  <si>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</si>
  <si>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</si>
  <si>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</si>
  <si>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</si>
  <si>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</si>
  <si>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</si>
  <si>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</si>
  <si>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</si>
  <si>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</si>
  <si>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</si>
  <si>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</si>
  <si>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</si>
  <si>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</si>
  <si>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</si>
  <si>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</si>
  <si>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</si>
  <si>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</si>
  <si>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</si>
  <si>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</si>
  <si>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</si>
  <si>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</si>
  <si>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</si>
  <si>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</si>
  <si>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</si>
  <si>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</si>
  <si>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</si>
  <si>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</si>
  <si>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</si>
  <si>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</si>
  <si>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</si>
  <si>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</si>
  <si>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</si>
  <si>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</si>
  <si>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</si>
  <si>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</si>
  <si>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</si>
  <si>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</si>
  <si>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</si>
  <si>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</si>
  <si>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</si>
  <si>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</si>
  <si>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</si>
  <si>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</si>
  <si>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</si>
  <si>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</si>
  <si>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</si>
  <si>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</si>
  <si>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</si>
  <si>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</si>
  <si>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</si>
  <si>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</si>
  <si>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</si>
  <si>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</si>
  <si>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</si>
  <si>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</si>
  <si>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</si>
  <si>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</si>
  <si>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</si>
  <si>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</si>
  <si>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</si>
  <si>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</si>
  <si>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</si>
  <si>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</si>
  <si>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</si>
  <si>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</si>
  <si>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</si>
  <si>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</si>
  <si>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</si>
  <si>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</si>
  <si>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</si>
  <si>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</si>
  <si>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</si>
  <si>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</si>
  <si>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</si>
  <si>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</si>
  <si>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</si>
  <si>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</si>
  <si>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</si>
  <si>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</si>
  <si>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</si>
  <si>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</si>
  <si>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</si>
  <si>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</si>
  <si>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</si>
  <si>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</si>
  <si>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</si>
  <si>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</si>
  <si>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</si>
  <si>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</si>
  <si>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</si>
  <si>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</si>
  <si>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</si>
  <si>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</si>
  <si>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</si>
  <si>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</si>
  <si>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</si>
  <si>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</si>
  <si>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</si>
  <si>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</si>
  <si>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</si>
  <si>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</si>
  <si>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</si>
  <si>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</si>
  <si>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</si>
  <si>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</si>
  <si>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</si>
  <si>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</si>
  <si>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</si>
  <si>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</si>
  <si>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</si>
  <si>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</si>
  <si>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</si>
  <si>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</si>
  <si>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</si>
  <si>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</si>
  <si>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</si>
  <si>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</si>
  <si>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</si>
  <si>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</si>
  <si>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</si>
  <si>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</si>
  <si>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</si>
  <si>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</si>
  <si>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</si>
  <si>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</si>
  <si>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</si>
  <si>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</si>
  <si>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</si>
  <si>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</si>
  <si>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</si>
  <si>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</si>
  <si>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</si>
  <si>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</si>
  <si>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</si>
  <si>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</si>
  <si>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</si>
  <si>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</si>
  <si>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</si>
  <si>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</si>
  <si>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</si>
  <si>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</si>
  <si>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</si>
  <si>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</si>
  <si>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</si>
  <si>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</si>
  <si>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</si>
  <si>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</si>
  <si>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</si>
  <si>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</si>
  <si>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</si>
  <si>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</si>
  <si>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</si>
  <si>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</si>
  <si>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</si>
  <si>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</si>
  <si>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</si>
  <si>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</si>
  <si>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</si>
  <si>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</si>
  <si>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</si>
  <si>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</si>
  <si>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</si>
  <si>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</si>
  <si>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</si>
  <si>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</si>
  <si>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</si>
  <si>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</si>
  <si>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</si>
  <si>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</si>
  <si>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</si>
  <si>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</si>
  <si>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</si>
  <si>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</si>
  <si>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</si>
  <si>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</si>
  <si>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</si>
  <si>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</si>
  <si>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</si>
  <si>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</si>
  <si>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</si>
  <si>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</si>
  <si>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</si>
  <si>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</si>
  <si>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</si>
  <si>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</si>
  <si>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</si>
  <si>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</si>
  <si>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</si>
  <si>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</si>
  <si>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</si>
  <si>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</si>
  <si>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</si>
  <si>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</si>
  <si>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</si>
  <si>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</si>
  <si>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</si>
  <si>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</si>
  <si>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</si>
  <si>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</si>
  <si>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</si>
  <si>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</si>
  <si>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</si>
  <si>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</si>
  <si>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</si>
  <si>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</si>
  <si>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</si>
  <si>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</si>
  <si>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</si>
  <si>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</si>
  <si>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</si>
  <si>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</si>
  <si>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</si>
  <si>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</si>
  <si>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</si>
  <si>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</si>
  <si>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</si>
  <si>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</si>
  <si>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</si>
  <si>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</si>
  <si>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</si>
  <si>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</si>
  <si>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</si>
  <si>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</si>
  <si>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</si>
  <si>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</si>
  <si>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</si>
  <si>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</si>
  <si>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</si>
  <si>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</si>
  <si>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</si>
  <si>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</si>
  <si>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</si>
  <si>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</si>
  <si>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</si>
  <si>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</si>
  <si>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</si>
  <si>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</si>
  <si>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</si>
  <si>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</si>
  <si>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</si>
  <si>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</si>
  <si>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</si>
  <si>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</si>
  <si>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</si>
  <si>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</si>
  <si>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</si>
  <si>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</si>
  <si>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</si>
  <si>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</si>
  <si>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</si>
  <si>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</si>
  <si>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</si>
  <si>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</si>
  <si>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</si>
  <si>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</si>
  <si>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</si>
  <si>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</si>
  <si>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</si>
  <si>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</si>
  <si>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</si>
  <si>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</si>
  <si>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</si>
  <si>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</si>
  <si>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</si>
  <si>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</si>
  <si>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</si>
  <si>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</si>
  <si>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</si>
  <si>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</si>
  <si>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</si>
  <si>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</si>
  <si>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</si>
  <si>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</si>
  <si>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</si>
  <si>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</si>
  <si>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</si>
  <si>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</si>
  <si>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</si>
  <si>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</si>
  <si>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</si>
  <si>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</si>
  <si>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</si>
  <si>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</si>
  <si>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</si>
  <si>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</si>
  <si>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</si>
  <si>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</si>
  <si>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</si>
  <si>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</si>
  <si>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</si>
  <si>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</si>
  <si>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</si>
  <si>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</si>
  <si>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</si>
  <si>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</si>
  <si>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</si>
  <si>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</si>
  <si>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</si>
  <si>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</si>
  <si>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</si>
  <si>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</si>
  <si>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</si>
  <si>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</si>
  <si>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</si>
  <si>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</si>
  <si>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</si>
  <si>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</si>
  <si>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</si>
  <si>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</si>
  <si>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</si>
  <si>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</si>
  <si>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</si>
  <si>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</si>
  <si>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</si>
  <si>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</si>
  <si>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</si>
  <si>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</si>
  <si>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</si>
  <si>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</si>
  <si>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</si>
  <si>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</si>
  <si>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</si>
  <si>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</si>
  <si>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</si>
  <si>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</si>
  <si>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</si>
  <si>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</si>
  <si>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</si>
  <si>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</si>
  <si>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</si>
  <si>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</si>
  <si>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</si>
  <si>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</si>
  <si>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</si>
  <si>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</si>
  <si>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</si>
  <si>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</si>
  <si>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</si>
  <si>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</si>
  <si>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</si>
  <si>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</si>
  <si>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</si>
  <si>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</si>
  <si>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</si>
  <si>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</si>
  <si>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</si>
  <si>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</si>
  <si>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</si>
  <si>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</si>
  <si>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</si>
  <si>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</si>
  <si>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</si>
  <si>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</si>
  <si>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</si>
  <si>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</si>
  <si>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</si>
  <si>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</si>
  <si>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</si>
  <si>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</si>
  <si>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</si>
  <si>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</si>
  <si>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</si>
  <si>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</si>
  <si>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</si>
  <si>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</si>
  <si>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</si>
  <si>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</si>
  <si>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</si>
  <si>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</si>
  <si>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</si>
  <si>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</si>
  <si>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</si>
  <si>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</si>
  <si>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</si>
  <si>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</si>
  <si>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</si>
  <si>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</si>
  <si>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</si>
  <si>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</si>
  <si>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</si>
  <si>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</si>
  <si>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</si>
  <si>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</si>
  <si>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</si>
  <si>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</si>
  <si>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</si>
  <si>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</si>
  <si>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</si>
  <si>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</si>
  <si>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</si>
  <si>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</si>
  <si>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</si>
  <si>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</si>
  <si>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</si>
  <si>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</si>
  <si>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</si>
  <si>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</si>
  <si>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</si>
  <si>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</si>
  <si>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</si>
  <si>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</si>
  <si>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</si>
  <si>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</si>
  <si>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</si>
  <si>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</si>
  <si>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</si>
  <si>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</si>
  <si>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</si>
  <si>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</si>
  <si>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</si>
  <si>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</si>
  <si>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</si>
  <si>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</si>
  <si>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</si>
  <si>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</si>
  <si>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</si>
  <si>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</si>
  <si>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</si>
  <si>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</si>
  <si>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</si>
  <si>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</si>
  <si>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</si>
  <si>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</si>
  <si>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</si>
  <si>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</si>
  <si>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</si>
  <si>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</si>
  <si>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</si>
  <si>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</si>
  <si>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</si>
  <si>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</si>
  <si>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</si>
  <si>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</si>
  <si>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</si>
  <si>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</si>
  <si>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</si>
  <si>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</si>
  <si>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</si>
  <si>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</si>
  <si>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</si>
  <si>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</si>
  <si>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</si>
  <si>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</si>
  <si>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</si>
  <si>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</si>
  <si>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</si>
  <si>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</si>
  <si>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</si>
  <si>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</si>
  <si>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</si>
  <si>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</si>
  <si>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</si>
  <si>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</si>
  <si>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</si>
  <si>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</si>
  <si>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</si>
  <si>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</si>
  <si>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</si>
  <si>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</si>
  <si>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</si>
  <si>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</si>
  <si>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</si>
  <si>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</si>
  <si>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</si>
  <si>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</si>
  <si>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</si>
  <si>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</si>
  <si>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</si>
  <si>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</si>
  <si>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</si>
  <si>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</si>
  <si>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</si>
  <si>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</si>
  <si>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</si>
  <si>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</si>
  <si>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</si>
  <si>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</si>
  <si>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</si>
  <si>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</si>
  <si>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</si>
  <si>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</si>
  <si>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</si>
  <si>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</si>
  <si>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</si>
  <si>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</si>
  <si>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</si>
  <si>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</si>
  <si>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</si>
  <si>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</si>
  <si>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</si>
  <si>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</si>
  <si>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</si>
  <si>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</si>
  <si>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</si>
  <si>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</si>
  <si>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</si>
  <si>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</si>
  <si>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</si>
  <si>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</si>
  <si>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</si>
  <si>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</si>
  <si>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</si>
  <si>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</si>
  <si>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</si>
  <si>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</si>
  <si>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</si>
  <si>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</si>
  <si>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</si>
  <si>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</si>
  <si>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</si>
  <si>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</si>
  <si>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</si>
  <si>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</si>
  <si>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</si>
  <si>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</si>
  <si>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</si>
  <si>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</si>
  <si>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</si>
  <si>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</si>
  <si>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</si>
  <si>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</si>
  <si>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</si>
  <si>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</si>
  <si>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</si>
  <si>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</si>
  <si>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</si>
  <si>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</si>
  <si>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</si>
  <si>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</si>
  <si>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</si>
  <si>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</si>
  <si>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</si>
  <si>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</si>
  <si>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</si>
  <si>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</si>
  <si>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</si>
  <si>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</si>
  <si>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</si>
  <si>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</si>
  <si>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</si>
  <si>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</si>
  <si>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</si>
  <si>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</si>
  <si>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</si>
  <si>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</si>
  <si>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</si>
  <si>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</si>
  <si>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</si>
  <si>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</si>
  <si>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</si>
  <si>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</si>
  <si>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</si>
  <si>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</si>
  <si>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</si>
  <si>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</si>
  <si>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</si>
  <si>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</si>
  <si>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</si>
  <si>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</si>
  <si>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</si>
  <si>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</si>
  <si>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</si>
  <si>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</si>
  <si>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</si>
  <si>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</si>
  <si>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</si>
  <si>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</si>
  <si>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</si>
  <si>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</si>
  <si>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</si>
  <si>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</si>
  <si>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</si>
  <si>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</si>
  <si>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</si>
  <si>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</si>
  <si>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</si>
  <si>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</si>
  <si>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</si>
  <si>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</si>
  <si>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</si>
  <si>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</si>
  <si>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</si>
  <si>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</si>
  <si>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</si>
  <si>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</si>
  <si>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</si>
  <si>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</si>
  <si>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</si>
  <si>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</si>
  <si>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</si>
  <si>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</si>
  <si>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</si>
  <si>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</si>
  <si>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</si>
  <si>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</si>
  <si>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</si>
  <si>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</si>
  <si>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</si>
  <si>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</si>
  <si>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</si>
  <si>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</si>
  <si>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</si>
  <si>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</si>
  <si>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</si>
  <si>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</si>
  <si>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</si>
  <si>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</si>
  <si>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</si>
  <si>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</si>
  <si>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</si>
  <si>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</si>
  <si>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</si>
  <si>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</si>
  <si>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</si>
  <si>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</si>
  <si>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</si>
  <si>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</si>
  <si>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</si>
  <si>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</si>
  <si>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</si>
  <si>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</si>
  <si>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</si>
  <si>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</si>
  <si>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</si>
  <si>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</si>
  <si>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</si>
  <si>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</si>
  <si>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</si>
  <si>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</si>
  <si>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</si>
  <si>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</si>
  <si>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</si>
  <si>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</si>
  <si>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</si>
  <si>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</si>
  <si>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</si>
  <si>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</si>
  <si>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</si>
  <si>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</si>
  <si>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</si>
  <si>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</si>
  <si>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</si>
  <si>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</si>
  <si>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</si>
  <si>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</si>
  <si>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</si>
  <si>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</si>
  <si>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</si>
  <si>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</si>
  <si>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</si>
  <si>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</si>
  <si>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</si>
  <si>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</si>
  <si>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</si>
  <si>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</si>
  <si>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</si>
  <si>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</si>
  <si>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</si>
  <si>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</si>
  <si>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</si>
  <si>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</si>
  <si>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</si>
  <si>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</si>
  <si>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</si>
  <si>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</si>
  <si>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</si>
  <si>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</si>
  <si>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</si>
  <si>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</si>
  <si>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</si>
  <si>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</si>
  <si>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</si>
  <si>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</si>
  <si>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</si>
  <si>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</si>
  <si>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</si>
  <si>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</si>
  <si>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</si>
  <si>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</si>
  <si>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</si>
  <si>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</si>
  <si>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</si>
  <si>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</si>
  <si>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</si>
  <si>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</si>
  <si>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</si>
  <si>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</si>
  <si>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</si>
  <si>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</si>
  <si>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</si>
  <si>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</si>
  <si>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</si>
  <si>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</si>
  <si>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</si>
  <si>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</si>
  <si>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</si>
  <si>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</si>
  <si>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</si>
  <si>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</si>
  <si>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</si>
  <si>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</si>
  <si>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</si>
  <si>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</si>
  <si>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</si>
  <si>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</si>
  <si>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</si>
  <si>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</si>
  <si>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</si>
  <si>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</si>
  <si>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</si>
  <si>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</si>
  <si>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</si>
  <si>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</si>
  <si>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</si>
  <si>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</si>
  <si>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</si>
  <si>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</si>
  <si>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</si>
  <si>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</si>
  <si>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</si>
  <si>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</si>
  <si>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</si>
  <si>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</si>
  <si>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</si>
  <si>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</si>
  <si>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</si>
  <si>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</si>
  <si>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</si>
  <si>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</si>
  <si>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</si>
  <si>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</si>
  <si>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</si>
  <si>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</si>
  <si>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</si>
  <si>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</si>
  <si>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</si>
  <si>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</si>
  <si>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</si>
  <si>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</si>
  <si>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</si>
  <si>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</si>
  <si>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</si>
  <si>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</si>
  <si>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</si>
  <si>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</si>
  <si>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</si>
  <si>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</si>
  <si>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</si>
  <si>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</si>
  <si>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</si>
  <si>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</si>
  <si>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</si>
  <si>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</si>
  <si>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</si>
  <si>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</si>
  <si>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</si>
  <si>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</si>
  <si>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</si>
  <si>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</si>
  <si>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</si>
  <si>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</si>
  <si>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</si>
  <si>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</si>
  <si>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</si>
  <si>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</si>
  <si>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</si>
  <si>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</si>
  <si>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</si>
  <si>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</si>
  <si>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</si>
  <si>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</si>
  <si>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</si>
  <si>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</si>
  <si>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</si>
  <si>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</si>
  <si>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</si>
  <si>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</si>
  <si>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</si>
  <si>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</si>
  <si>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</si>
  <si>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</si>
  <si>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</si>
  <si>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</si>
  <si>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</si>
  <si>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</si>
  <si>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</si>
  <si>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</si>
  <si>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</si>
  <si>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</si>
  <si>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</si>
  <si>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</si>
  <si>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</si>
  <si>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</si>
  <si>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</si>
  <si>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</si>
  <si>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</si>
  <si>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</si>
  <si>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</si>
  <si>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</si>
  <si>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</si>
  <si>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</si>
  <si>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</si>
  <si>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</si>
  <si>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</si>
  <si>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</si>
  <si>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</si>
  <si>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</si>
  <si>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</si>
  <si>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</si>
  <si>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</si>
  <si>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</si>
  <si>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</si>
  <si>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</si>
  <si>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</si>
  <si>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</si>
  <si>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</si>
  <si>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</si>
  <si>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</si>
  <si>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</si>
  <si>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</si>
  <si>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</si>
  <si>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</si>
  <si>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</si>
  <si>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</si>
  <si>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</si>
  <si>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</si>
  <si>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</si>
  <si>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</si>
  <si>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</si>
  <si>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</si>
  <si>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</si>
  <si>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</si>
  <si>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</si>
  <si>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</si>
  <si>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</si>
  <si>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</si>
  <si>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</si>
  <si>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</si>
  <si>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</si>
  <si>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</si>
  <si>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</si>
  <si>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</si>
  <si>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</si>
  <si>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</si>
  <si>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</si>
  <si>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</si>
  <si>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</si>
  <si>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</si>
  <si>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</si>
  <si>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</si>
  <si>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</si>
  <si>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</si>
  <si>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</si>
  <si>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</si>
  <si>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</si>
  <si>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</si>
  <si>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</si>
  <si>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</si>
  <si>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</si>
  <si>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</si>
  <si>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</si>
  <si>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</si>
  <si>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</si>
  <si>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</si>
  <si>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</si>
  <si>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</si>
  <si>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</si>
  <si>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</si>
  <si>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</si>
  <si>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</si>
  <si>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</si>
  <si>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</si>
  <si>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</si>
  <si>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</si>
  <si>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</si>
  <si>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</si>
  <si>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</si>
  <si>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</si>
  <si>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</si>
  <si>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</si>
  <si>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</si>
  <si>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</si>
  <si>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</si>
  <si>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</si>
  <si>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</si>
  <si>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</si>
  <si>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</si>
  <si>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</si>
  <si>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</si>
  <si>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</si>
  <si>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</si>
  <si>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</si>
  <si>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</si>
  <si>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</si>
  <si>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</si>
  <si>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</si>
  <si>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</si>
  <si>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</si>
  <si>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</si>
  <si>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</si>
  <si>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</si>
  <si>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</si>
  <si>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</si>
  <si>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</si>
  <si>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</si>
  <si>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</si>
  <si>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</si>
  <si>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</si>
  <si>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</si>
  <si>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</si>
  <si>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</si>
  <si>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</si>
  <si>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</si>
  <si>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</si>
  <si>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</si>
  <si>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</si>
  <si>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</si>
  <si>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</si>
  <si>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</si>
  <si>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</si>
  <si>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</si>
  <si>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</si>
  <si>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</si>
  <si>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</si>
  <si>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</si>
  <si>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</si>
  <si>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</si>
  <si>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</si>
  <si>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</si>
  <si>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</si>
  <si>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</si>
  <si>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</si>
  <si>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</si>
  <si>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</si>
  <si>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</si>
  <si>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</si>
  <si>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</si>
  <si>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</si>
  <si>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</si>
  <si>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</si>
  <si>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</si>
  <si>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</si>
  <si>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</si>
  <si>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</si>
  <si>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</si>
  <si>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</si>
  <si>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</si>
  <si>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</si>
  <si>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</si>
  <si>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</si>
  <si>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</si>
  <si>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</si>
  <si>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</si>
  <si>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</si>
  <si>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</si>
  <si>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</si>
  <si>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</si>
  <si>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</si>
  <si>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</si>
  <si>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</si>
  <si>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</si>
  <si>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</si>
  <si>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</si>
  <si>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</si>
  <si>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</si>
  <si>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</si>
  <si>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</si>
  <si>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</si>
  <si>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</si>
  <si>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</si>
  <si>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</si>
  <si>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</si>
  <si>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</si>
  <si>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</si>
  <si>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</si>
  <si>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</si>
  <si>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</si>
  <si>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</si>
  <si>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</si>
  <si>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</si>
  <si>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</si>
  <si>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</si>
  <si>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</si>
  <si>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</si>
  <si>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</si>
  <si>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</si>
  <si>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</si>
  <si>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</si>
  <si>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</si>
  <si>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</si>
  <si>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</si>
  <si>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</si>
  <si>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</si>
  <si>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</si>
  <si>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</si>
  <si>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</si>
  <si>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</si>
  <si>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</si>
  <si>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</si>
  <si>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</si>
  <si>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</si>
  <si>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</si>
  <si>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</si>
  <si>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</si>
  <si>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</si>
  <si>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</si>
  <si>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</si>
  <si>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</si>
  <si>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</si>
  <si>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</si>
  <si>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</si>
  <si>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</si>
  <si>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</si>
  <si>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</si>
  <si>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</si>
  <si>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</si>
  <si>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</si>
  <si>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</si>
  <si>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</si>
  <si>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</si>
  <si>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</si>
  <si>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</si>
  <si>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</si>
  <si>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</si>
  <si>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</si>
  <si>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</si>
  <si>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</si>
  <si>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</si>
  <si>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</si>
  <si>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</si>
  <si>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</si>
  <si>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</si>
  <si>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</si>
  <si>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</si>
  <si>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</si>
  <si>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</si>
  <si>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</si>
  <si>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</si>
  <si>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</si>
  <si>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</si>
  <si>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</si>
  <si>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</si>
  <si>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</si>
  <si>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</si>
  <si>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</si>
  <si>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</si>
  <si>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</si>
  <si>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</si>
  <si>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</si>
  <si>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</si>
  <si>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</si>
  <si>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</si>
  <si>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</si>
  <si>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</si>
  <si>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</si>
  <si>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</si>
  <si>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</si>
  <si>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</si>
  <si>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</si>
  <si>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</si>
  <si>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</si>
  <si>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</si>
  <si>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</si>
  <si>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</si>
  <si>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</si>
  <si>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</si>
  <si>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</si>
  <si>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</si>
  <si>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</si>
  <si>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</si>
  <si>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</si>
  <si>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</si>
  <si>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</si>
  <si>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</si>
  <si>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</si>
  <si>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</si>
  <si>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</si>
  <si>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</si>
  <si>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</si>
  <si>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</si>
  <si>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</si>
  <si>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</si>
  <si>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</si>
  <si>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</si>
  <si>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</si>
  <si>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</si>
  <si>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</si>
  <si>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</si>
  <si>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</si>
  <si>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</si>
  <si>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</si>
  <si>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</si>
  <si>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</si>
  <si>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</si>
  <si>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</si>
  <si>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</si>
  <si>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</si>
  <si>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</si>
  <si>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</si>
  <si>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</si>
  <si>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</si>
  <si>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</si>
  <si>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</si>
  <si>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</si>
  <si>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</si>
  <si>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</si>
  <si>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</si>
  <si>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</si>
  <si>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</si>
  <si>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</si>
  <si>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</si>
  <si>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</si>
  <si>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</si>
  <si>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</si>
  <si>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</si>
  <si>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</si>
  <si>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</si>
  <si>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</si>
  <si>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</si>
  <si>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</si>
  <si>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</si>
  <si>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</si>
  <si>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</si>
  <si>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</si>
  <si>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</si>
  <si>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</si>
  <si>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</si>
  <si>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</si>
  <si>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</si>
  <si>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</si>
  <si>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</si>
  <si>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</si>
  <si>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</si>
  <si>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</si>
  <si>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</si>
  <si>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</si>
  <si>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</si>
  <si>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</si>
  <si>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</si>
  <si>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</si>
  <si>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</si>
  <si>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</si>
  <si>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</si>
  <si>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</si>
  <si>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</si>
  <si>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</si>
  <si>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</si>
  <si>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</si>
  <si>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</si>
  <si>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</si>
  <si>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</si>
  <si>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</si>
  <si>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</si>
  <si>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</si>
  <si>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</si>
  <si>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</si>
  <si>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</si>
  <si>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</si>
  <si>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</si>
  <si>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</si>
  <si>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</si>
  <si>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</si>
  <si>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</si>
  <si>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</si>
  <si>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</si>
  <si>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</si>
  <si>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</si>
  <si>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</si>
  <si>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</si>
  <si>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</si>
  <si>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</si>
  <si>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</si>
  <si>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</si>
  <si>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</si>
  <si>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</si>
  <si>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</si>
  <si>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</si>
  <si>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</si>
  <si>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</si>
  <si>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</si>
  <si>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</si>
  <si>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</si>
  <si>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</si>
  <si>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</si>
  <si>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</si>
  <si>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</si>
  <si>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</si>
  <si>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</si>
  <si>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</si>
  <si>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</si>
  <si>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</si>
  <si>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</si>
  <si>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</si>
  <si>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</si>
  <si>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</si>
  <si>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</si>
  <si>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</si>
  <si>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</si>
  <si>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</si>
  <si>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</si>
  <si>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</si>
  <si>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</si>
  <si>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</si>
  <si>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</si>
  <si>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</si>
  <si>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</si>
  <si>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</si>
  <si>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</si>
  <si>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</si>
  <si>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</si>
  <si>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</si>
  <si>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</si>
  <si>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</si>
  <si>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</si>
  <si>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</si>
  <si>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</si>
  <si>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</si>
  <si>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</si>
  <si>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</si>
  <si>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</si>
  <si>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</si>
  <si>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</si>
  <si>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</si>
  <si>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</si>
  <si>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</si>
  <si>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</si>
  <si>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</si>
  <si>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</si>
  <si>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</si>
  <si>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</si>
  <si>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</si>
  <si>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</si>
  <si>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</si>
  <si>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</si>
  <si>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</si>
  <si>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</si>
  <si>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</si>
  <si>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</si>
  <si>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</si>
  <si>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</si>
  <si>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</si>
  <si>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</si>
  <si>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</si>
  <si>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</si>
  <si>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</si>
  <si>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</si>
  <si>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</si>
  <si>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</si>
  <si>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</si>
  <si>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</si>
  <si>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</si>
  <si>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</si>
  <si>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</si>
  <si>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</si>
  <si>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</si>
  <si>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</si>
  <si>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</si>
  <si>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</si>
  <si>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</si>
  <si>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</si>
  <si>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</si>
  <si>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</si>
  <si>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</si>
  <si>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</si>
  <si>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</si>
  <si>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</si>
  <si>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</si>
  <si>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</si>
  <si>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</si>
  <si>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</si>
  <si>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</si>
  <si>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</si>
  <si>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</si>
  <si>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</si>
  <si>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</si>
  <si>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</si>
  <si>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</si>
  <si>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</si>
  <si>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</si>
  <si>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</si>
  <si>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</si>
  <si>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</si>
  <si>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</si>
  <si>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</si>
  <si>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</si>
  <si>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</si>
  <si>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</si>
  <si>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</si>
  <si>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</si>
  <si>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</si>
  <si>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</si>
  <si>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</si>
  <si>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</si>
  <si>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</si>
  <si>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</si>
  <si>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</si>
  <si>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</si>
  <si>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</si>
  <si>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</si>
  <si>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</si>
  <si>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</si>
  <si>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</si>
  <si>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</si>
  <si>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</si>
  <si>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</si>
  <si>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</si>
  <si>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</si>
  <si>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</si>
  <si>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</si>
  <si>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</si>
  <si>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</si>
  <si>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</si>
  <si>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</si>
  <si>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</si>
  <si>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</si>
  <si>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</si>
  <si>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</si>
  <si>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</si>
  <si>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</si>
  <si>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</si>
  <si>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</si>
  <si>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</si>
  <si>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</si>
  <si>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</si>
  <si>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</si>
  <si>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</si>
  <si>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</si>
  <si>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</si>
  <si>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</si>
  <si>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</si>
  <si>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</si>
  <si>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</si>
  <si>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</si>
  <si>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</si>
  <si>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</si>
  <si>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</si>
  <si>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</si>
  <si>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</si>
  <si>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</si>
  <si>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</si>
  <si>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</si>
  <si>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</si>
  <si>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</si>
  <si>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</si>
  <si>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</si>
  <si>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</si>
  <si>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</si>
  <si>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</si>
  <si>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</si>
  <si>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</si>
  <si>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</si>
  <si>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</si>
  <si>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</si>
  <si>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</si>
  <si>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</si>
  <si>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</si>
  <si>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</si>
  <si>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</si>
  <si>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</si>
  <si>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</si>
  <si>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</si>
  <si>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</si>
  <si>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</si>
  <si>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</si>
  <si>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</si>
  <si>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</si>
  <si>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</si>
  <si>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</si>
  <si>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</si>
  <si>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</si>
  <si>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</si>
  <si>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</si>
  <si>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</si>
  <si>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</si>
  <si>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</si>
  <si>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</si>
  <si>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</si>
  <si>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</si>
  <si>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</si>
  <si>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</si>
  <si>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</si>
  <si>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</si>
  <si>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</si>
  <si>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</si>
  <si>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</si>
  <si>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</si>
  <si>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</si>
  <si>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</si>
  <si>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</si>
  <si>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</si>
  <si>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</si>
  <si>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</si>
  <si>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</si>
  <si>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</si>
  <si>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</si>
  <si>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</si>
  <si>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</si>
  <si>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</si>
  <si>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</si>
  <si>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</si>
  <si>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</si>
  <si>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</si>
  <si>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</si>
  <si>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</si>
  <si>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</si>
  <si>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</si>
  <si>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</si>
  <si>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</si>
  <si>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</si>
  <si>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</si>
  <si>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</si>
  <si>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</si>
  <si>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</si>
  <si>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</si>
  <si>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</si>
  <si>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</si>
  <si>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</si>
  <si>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</si>
  <si>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</si>
  <si>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</si>
  <si>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</si>
  <si>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</si>
  <si>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</si>
  <si>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</si>
  <si>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</si>
  <si>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</si>
  <si>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</si>
  <si>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</si>
  <si>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</si>
  <si>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</si>
  <si>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</si>
  <si>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</si>
  <si>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</si>
  <si>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</si>
  <si>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</si>
  <si>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</si>
  <si>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</si>
  <si>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</si>
  <si>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</si>
  <si>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</si>
  <si>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</si>
  <si>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</si>
  <si>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</si>
  <si>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</si>
  <si>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</si>
  <si>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</si>
  <si>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</si>
  <si>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</si>
  <si>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</si>
  <si>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</si>
  <si>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</si>
  <si>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</si>
  <si>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</si>
  <si>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</si>
  <si>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</si>
  <si>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</si>
  <si>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</si>
  <si>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</si>
  <si>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</si>
  <si>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</si>
  <si>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</si>
  <si>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</si>
  <si>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</si>
  <si>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</si>
  <si>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</si>
  <si>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</si>
  <si>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</si>
  <si>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</si>
  <si>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</si>
  <si>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</si>
  <si>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</si>
  <si>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</si>
  <si>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</si>
  <si>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</si>
  <si>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</si>
  <si>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</si>
  <si>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</si>
  <si>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</si>
  <si>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</si>
  <si>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</si>
  <si>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</si>
  <si>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</si>
  <si>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</si>
  <si>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</si>
  <si>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</si>
  <si>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</si>
  <si>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</si>
  <si>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</si>
  <si>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</si>
  <si>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</si>
  <si>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</si>
  <si>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</si>
  <si>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</si>
  <si>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</si>
  <si>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</si>
  <si>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</si>
  <si>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</si>
  <si>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</si>
  <si>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</si>
  <si>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</si>
  <si>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</si>
  <si>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</si>
  <si>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</si>
  <si>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</si>
  <si>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</si>
  <si>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</si>
  <si>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</si>
  <si>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</si>
  <si>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</si>
  <si>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</si>
  <si>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</si>
  <si>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</si>
  <si>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</si>
  <si>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</si>
  <si>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</si>
  <si>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</si>
  <si>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</si>
  <si>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</si>
  <si>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</si>
  <si>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</si>
  <si>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</si>
  <si>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</si>
  <si>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</si>
  <si>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</si>
  <si>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</si>
  <si>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</si>
  <si>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</si>
  <si>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</si>
  <si>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</si>
  <si>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</si>
  <si>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</si>
  <si>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</si>
  <si>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</si>
  <si>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</si>
  <si>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</si>
  <si>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</si>
  <si>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</si>
  <si>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</si>
  <si>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</si>
  <si>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</si>
  <si>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</si>
  <si>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</si>
  <si>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</si>
  <si>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</si>
  <si>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</si>
  <si>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</si>
  <si>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</si>
  <si>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</si>
  <si>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</si>
  <si>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</si>
  <si>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</si>
  <si>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</si>
  <si>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</si>
  <si>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</si>
  <si>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</si>
  <si>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</si>
  <si>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</si>
  <si>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</si>
  <si>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</si>
  <si>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</si>
  <si>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</si>
  <si>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</si>
  <si>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</si>
  <si>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</si>
  <si>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</si>
  <si>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</si>
  <si>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</si>
  <si>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</si>
  <si>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</si>
  <si>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</si>
  <si>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</si>
  <si>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</si>
  <si>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</si>
  <si>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</si>
  <si>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</si>
  <si>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</si>
  <si>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</si>
  <si>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</si>
  <si>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</si>
  <si>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</si>
  <si>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</si>
  <si>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</si>
  <si>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</si>
  <si>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</si>
  <si>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</si>
  <si>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</si>
  <si>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</si>
  <si>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</si>
  <si>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</si>
  <si>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</si>
  <si>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</si>
  <si>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</si>
  <si>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</si>
  <si>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</si>
  <si>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</si>
  <si>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</si>
  <si>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</si>
  <si>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</si>
  <si>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</si>
  <si>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</si>
  <si>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</si>
  <si>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</si>
  <si>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</si>
  <si>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</si>
  <si>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</si>
  <si>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</si>
  <si>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</si>
  <si>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</si>
  <si>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</si>
  <si>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</si>
  <si>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</si>
  <si>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</si>
  <si>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</si>
  <si>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</si>
  <si>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</si>
  <si>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</si>
  <si>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</si>
  <si>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</si>
  <si>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</si>
  <si>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</si>
  <si>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</si>
  <si>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</si>
  <si>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</si>
  <si>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</si>
  <si>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</si>
  <si>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</si>
  <si>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</si>
  <si>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</si>
  <si>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</si>
  <si>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</si>
  <si>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</si>
  <si>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</si>
  <si>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</si>
  <si>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</si>
  <si>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</si>
  <si>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</si>
  <si>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</si>
  <si>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</si>
  <si>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</si>
  <si>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</si>
  <si>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</si>
  <si>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</si>
  <si>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</si>
  <si>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</si>
  <si>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</si>
  <si>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</si>
  <si>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</si>
  <si>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</si>
  <si>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</si>
  <si>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</si>
  <si>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</si>
  <si>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</si>
  <si>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</si>
  <si>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</si>
  <si>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</si>
  <si>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</si>
  <si>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</si>
  <si>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</si>
  <si>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</si>
  <si>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</si>
  <si>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</si>
  <si>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</si>
  <si>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</si>
  <si>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</si>
  <si>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</si>
  <si>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</si>
  <si>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</si>
  <si>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</si>
  <si>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</si>
  <si>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</si>
  <si>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</si>
  <si>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</si>
  <si>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</si>
  <si>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</si>
  <si>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</si>
  <si>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</si>
  <si>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</si>
  <si>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</si>
  <si>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</si>
  <si>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</si>
  <si>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</si>
  <si>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</si>
  <si>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</si>
  <si>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</si>
  <si>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</si>
  <si>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</si>
  <si>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</si>
  <si>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</si>
  <si>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</si>
  <si>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</si>
  <si>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</si>
  <si>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</si>
  <si>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</si>
  <si>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</si>
  <si>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</si>
  <si>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</si>
  <si>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</si>
  <si>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</si>
  <si>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</si>
  <si>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</si>
  <si>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</si>
  <si>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</si>
  <si>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</si>
  <si>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</si>
  <si>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</si>
  <si>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</si>
  <si>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</si>
  <si>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</si>
  <si>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</si>
  <si>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</si>
  <si>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</si>
  <si>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</si>
  <si>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</si>
  <si>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</si>
  <si>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</si>
  <si>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</si>
  <si>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</si>
  <si>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</si>
  <si>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</si>
  <si>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</si>
  <si>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</si>
  <si>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</si>
  <si>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</si>
  <si>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</si>
  <si>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</si>
  <si>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</si>
  <si>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</si>
  <si>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</si>
  <si>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</si>
  <si>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</si>
  <si>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</si>
  <si>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</si>
  <si>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</si>
  <si>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</si>
  <si>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</si>
  <si>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</si>
  <si>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</si>
  <si>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</si>
  <si>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</si>
  <si>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</si>
  <si>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</si>
  <si>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</si>
  <si>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</si>
  <si>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</si>
  <si>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</si>
  <si>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</si>
  <si>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</si>
  <si>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</si>
  <si>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</si>
  <si>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</si>
  <si>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</si>
  <si>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</si>
  <si>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</si>
  <si>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</si>
  <si>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</si>
  <si>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</si>
  <si>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</si>
  <si>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</si>
  <si>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</si>
  <si>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</si>
  <si>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</si>
  <si>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</si>
  <si>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</si>
  <si>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</si>
  <si>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</si>
  <si>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</si>
  <si>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</si>
  <si>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</si>
  <si>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</si>
  <si>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</si>
  <si>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</si>
  <si>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</si>
  <si>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</si>
  <si>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</si>
  <si>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</si>
  <si>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</si>
  <si>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</si>
  <si>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</si>
  <si>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</si>
  <si>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</si>
  <si>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</si>
  <si>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</si>
  <si>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</si>
  <si>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</si>
  <si>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</si>
  <si>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</si>
  <si>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</si>
  <si>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</si>
  <si>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</si>
  <si>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</si>
  <si>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</si>
  <si>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</si>
  <si>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</si>
  <si>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</si>
  <si>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</si>
  <si>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</si>
  <si>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</si>
  <si>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</si>
  <si>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</si>
  <si>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</si>
  <si>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</si>
  <si>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</si>
  <si>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</si>
  <si>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</si>
  <si>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</si>
  <si>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</si>
  <si>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</si>
  <si>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</si>
  <si>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</si>
  <si>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</si>
  <si>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</si>
  <si>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</si>
  <si>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</si>
  <si>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</si>
  <si>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</si>
  <si>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</si>
  <si>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</si>
  <si>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</si>
  <si>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</si>
  <si>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</si>
  <si>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</si>
  <si>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</si>
  <si>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</si>
  <si>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</si>
  <si>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</si>
  <si>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</si>
  <si>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</si>
  <si>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</si>
  <si>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</si>
  <si>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</si>
  <si>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</si>
  <si>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</si>
  <si>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</si>
  <si>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</si>
  <si>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</si>
  <si>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</si>
  <si>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</si>
  <si>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</si>
  <si>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</si>
  <si>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</si>
  <si>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</si>
  <si>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</si>
  <si>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</si>
  <si>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</si>
  <si>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</si>
  <si>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</si>
  <si>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</si>
  <si>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</si>
  <si>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</si>
  <si>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</si>
  <si>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</si>
  <si>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</si>
  <si>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</si>
  <si>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</si>
  <si>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</si>
  <si>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</si>
  <si>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</si>
  <si>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</si>
  <si>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</si>
  <si>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</si>
  <si>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</si>
  <si>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</si>
  <si>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</si>
  <si>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</si>
  <si>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</si>
  <si>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</si>
  <si>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</si>
  <si>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</si>
  <si>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</si>
  <si>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</si>
  <si>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</si>
  <si>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</si>
  <si>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</si>
  <si>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</si>
  <si>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</si>
  <si>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</si>
  <si>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</si>
  <si>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</si>
  <si>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</si>
  <si>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</si>
  <si>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</si>
  <si>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</si>
  <si>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</si>
  <si>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</si>
  <si>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</si>
  <si>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</si>
  <si>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</si>
  <si>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</si>
  <si>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</si>
  <si>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</si>
  <si>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</si>
  <si>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</si>
  <si>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</si>
  <si>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</si>
  <si>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</si>
  <si>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</si>
  <si>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</si>
  <si>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</si>
  <si>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</si>
  <si>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</si>
  <si>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</si>
  <si>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</si>
  <si>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</si>
  <si>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</si>
  <si>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</si>
  <si>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</si>
  <si>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</si>
  <si>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</si>
  <si>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</si>
  <si>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</si>
  <si>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</si>
  <si>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</si>
  <si>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</si>
  <si>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</si>
  <si>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</si>
  <si>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</si>
  <si>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</si>
  <si>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</si>
  <si>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</si>
  <si>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</si>
  <si>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</si>
  <si>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</si>
  <si>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</si>
  <si>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</si>
  <si>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</si>
  <si>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</si>
  <si>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</si>
  <si>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</si>
  <si>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</si>
  <si>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</si>
  <si>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</si>
  <si>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</si>
  <si>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</si>
  <si>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</si>
  <si>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</si>
  <si>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</si>
  <si>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</si>
  <si>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</si>
  <si>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</si>
  <si>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</si>
  <si>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</si>
  <si>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</si>
  <si>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</si>
  <si>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</si>
  <si>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</si>
  <si>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</si>
  <si>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</si>
  <si>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</si>
  <si>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</si>
  <si>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</si>
  <si>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</si>
  <si>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</si>
  <si>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</si>
  <si>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</si>
  <si>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</si>
  <si>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</si>
  <si>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</si>
  <si>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</si>
  <si>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</si>
  <si>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</si>
  <si>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</si>
  <si>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</si>
  <si>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</si>
  <si>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</si>
  <si>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</si>
  <si>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</si>
  <si>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</si>
  <si>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</si>
  <si>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</si>
  <si>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</si>
  <si>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</si>
  <si>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</si>
  <si>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</si>
  <si>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</si>
  <si>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</si>
  <si>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</si>
  <si>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</si>
  <si>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</si>
  <si>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</si>
  <si>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</si>
  <si>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</si>
  <si>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</si>
  <si>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</si>
  <si>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</si>
  <si>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</si>
  <si>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</si>
  <si>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</si>
  <si>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</si>
  <si>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</si>
  <si>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</si>
  <si>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</si>
  <si>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</si>
  <si>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</si>
  <si>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</si>
  <si>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</si>
  <si>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</si>
  <si>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</si>
  <si>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</si>
  <si>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</si>
  <si>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</si>
  <si>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</si>
  <si>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</si>
  <si>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</si>
  <si>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</si>
  <si>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</si>
  <si>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</si>
  <si>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</si>
  <si>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</si>
  <si>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</si>
  <si>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</si>
  <si>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</si>
  <si>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</si>
  <si>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</si>
  <si>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</si>
  <si>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</si>
  <si>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</si>
  <si>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</si>
  <si>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</si>
  <si>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</si>
  <si>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</si>
  <si>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</si>
  <si>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</si>
  <si>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</si>
  <si>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</si>
  <si>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</si>
  <si>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</si>
  <si>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</si>
  <si>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</si>
  <si>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</si>
  <si>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</si>
  <si>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</si>
  <si>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</si>
  <si>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</si>
  <si>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</si>
  <si>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</si>
  <si>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</si>
  <si>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</si>
  <si>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</si>
  <si>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</si>
  <si>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</si>
  <si>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</si>
  <si>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</si>
  <si>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</si>
  <si>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</si>
  <si>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</si>
  <si>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</si>
  <si>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</si>
  <si>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</si>
  <si>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</si>
  <si>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</si>
  <si>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</si>
  <si>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</si>
  <si>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</si>
  <si>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</si>
  <si>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</si>
  <si>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</si>
  <si>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</si>
  <si>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</si>
  <si>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</si>
  <si>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</si>
  <si>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</si>
  <si>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</si>
  <si>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</si>
  <si>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</si>
  <si>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</si>
  <si>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</si>
  <si>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</si>
  <si>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</si>
  <si>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</si>
  <si>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</si>
  <si>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</si>
  <si>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</si>
  <si>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</si>
  <si>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</si>
  <si>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</si>
  <si>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</si>
  <si>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</si>
  <si>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</si>
  <si>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</si>
  <si>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</si>
  <si>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</si>
  <si>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</si>
  <si>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</si>
  <si>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</si>
  <si>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</si>
  <si>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</si>
  <si>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</si>
  <si>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</si>
  <si>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</si>
  <si>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</si>
  <si>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</si>
  <si>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</si>
  <si>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</si>
  <si>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</si>
  <si>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</si>
  <si>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</si>
  <si>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</si>
  <si>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</si>
  <si>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</si>
  <si>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</si>
  <si>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</si>
  <si>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</si>
  <si>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</si>
  <si>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</si>
  <si>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</si>
  <si>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</si>
  <si>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</si>
  <si>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</si>
  <si>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</si>
  <si>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</si>
  <si>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</si>
  <si>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</si>
  <si>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</si>
  <si>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</si>
  <si>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</si>
  <si>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</si>
  <si>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</si>
  <si>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</si>
  <si>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</si>
  <si>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</si>
  <si>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</si>
  <si>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</si>
  <si>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</si>
  <si>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</si>
  <si>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</si>
  <si>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</si>
  <si>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</si>
  <si>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</si>
  <si>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</si>
  <si>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</si>
  <si>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</si>
  <si>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</si>
  <si>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</si>
  <si>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</si>
  <si>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</si>
  <si>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</si>
  <si>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</si>
  <si>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</si>
  <si>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</si>
  <si>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</si>
  <si>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</si>
  <si>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</si>
  <si>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</si>
  <si>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</si>
  <si>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</si>
  <si>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</si>
  <si>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</si>
  <si>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</si>
  <si>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</si>
  <si>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</si>
  <si>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</si>
  <si>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</si>
  <si>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</si>
  <si>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</si>
  <si>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</si>
  <si>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</si>
  <si>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</si>
  <si>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</si>
  <si>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</si>
  <si>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</si>
  <si>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</si>
  <si>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</si>
  <si>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</si>
  <si>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</si>
  <si>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</si>
  <si>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</si>
  <si>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</si>
  <si>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</si>
  <si>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</si>
  <si>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</si>
  <si>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</si>
  <si>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</si>
  <si>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</si>
  <si>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</si>
  <si>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</si>
  <si>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</si>
  <si>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</si>
  <si>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</si>
  <si>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</si>
  <si>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</si>
  <si>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</si>
  <si>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</si>
  <si>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</si>
  <si>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</si>
  <si>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</si>
  <si>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</si>
  <si>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</si>
  <si>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</si>
  <si>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</si>
  <si>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</si>
  <si>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</si>
  <si>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</si>
  <si>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</si>
  <si>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</si>
  <si>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</si>
  <si>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</si>
  <si>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</si>
  <si>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</si>
  <si>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</si>
  <si>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</si>
  <si>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</si>
  <si>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</si>
  <si>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</si>
  <si>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</si>
  <si>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</si>
  <si>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</si>
  <si>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</si>
  <si>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</si>
  <si>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</si>
  <si>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</si>
  <si>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</si>
  <si>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</si>
  <si>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</si>
  <si>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</si>
  <si>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</si>
  <si>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</si>
  <si>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</si>
  <si>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</si>
  <si>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</si>
  <si>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</si>
  <si>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</si>
  <si>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</si>
  <si>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</si>
  <si>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</si>
  <si>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</si>
  <si>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</si>
  <si>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</si>
  <si>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</si>
  <si>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</si>
  <si>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</si>
  <si>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</si>
  <si>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</si>
  <si>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</si>
  <si>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</si>
  <si>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</si>
  <si>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</si>
  <si>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</si>
  <si>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</si>
  <si>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</si>
  <si>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</si>
  <si>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</si>
  <si>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</si>
  <si>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</si>
  <si>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</si>
  <si>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</si>
  <si>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</si>
  <si>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</si>
  <si>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</si>
  <si>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</si>
  <si>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</si>
  <si>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</si>
  <si>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</si>
  <si>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</si>
  <si>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</si>
  <si>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</si>
  <si>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</si>
  <si>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</si>
  <si>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</si>
  <si>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</si>
  <si>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</si>
  <si>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</si>
  <si>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</si>
  <si>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</si>
  <si>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</si>
  <si>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</si>
  <si>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</si>
  <si>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</si>
  <si>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</si>
  <si>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</si>
  <si>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</si>
  <si>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</si>
  <si>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</si>
  <si>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</si>
  <si>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</si>
  <si>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</si>
  <si>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</si>
  <si>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</si>
  <si>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</si>
  <si>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</si>
  <si>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</si>
  <si>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</si>
  <si>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</si>
  <si>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</si>
  <si>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</si>
  <si>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</si>
  <si>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</si>
  <si>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</si>
  <si>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</si>
  <si>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</si>
  <si>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</si>
  <si>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</si>
  <si>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</si>
  <si>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</si>
  <si>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</si>
  <si>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</si>
  <si>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</si>
  <si>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</si>
  <si>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</si>
  <si>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</si>
  <si>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</si>
  <si>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</si>
  <si>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</si>
  <si>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</si>
  <si>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</si>
  <si>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</si>
  <si>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</si>
  <si>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</si>
  <si>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</si>
  <si>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</si>
  <si>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</si>
  <si>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</si>
  <si>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</si>
  <si>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</si>
  <si>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</si>
  <si>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</si>
  <si>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</si>
  <si>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</si>
  <si>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</si>
  <si>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</si>
  <si>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</si>
  <si>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</si>
  <si>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</si>
  <si>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</si>
  <si>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</si>
  <si>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</si>
  <si>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</si>
  <si>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</si>
  <si>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</si>
  <si>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</si>
  <si>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</si>
  <si>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</si>
  <si>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</si>
  <si>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</si>
  <si>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</si>
  <si>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</si>
  <si>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</si>
  <si>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</si>
  <si>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</si>
  <si>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</si>
  <si>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</si>
  <si>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</si>
  <si>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</si>
  <si>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</si>
  <si>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</si>
  <si>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</si>
  <si>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</si>
  <si>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</si>
  <si>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</si>
  <si>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</si>
  <si>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</si>
  <si>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</si>
  <si>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</si>
  <si>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</si>
  <si>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</si>
  <si>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</si>
  <si>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</si>
  <si>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</si>
  <si>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</si>
  <si>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</si>
  <si>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</si>
  <si>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</si>
  <si>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</si>
  <si>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</si>
  <si>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</si>
  <si>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</si>
  <si>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</si>
  <si>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</si>
  <si>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</si>
  <si>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</si>
  <si>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</si>
  <si>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</si>
  <si>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</si>
  <si>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</si>
  <si>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</si>
  <si>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</si>
  <si>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</si>
  <si>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</si>
  <si>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</si>
  <si>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</si>
  <si>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</si>
  <si>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</si>
  <si>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</si>
  <si>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</si>
  <si>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</si>
  <si>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</si>
  <si>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</si>
  <si>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</si>
  <si>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</si>
  <si>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</si>
  <si>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</si>
  <si>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</si>
  <si>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</si>
  <si>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</si>
  <si>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</si>
  <si>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</si>
  <si>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</si>
  <si>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</si>
  <si>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</si>
  <si>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</si>
  <si>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</si>
  <si>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</si>
  <si>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</si>
  <si>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</si>
  <si>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</si>
  <si>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</si>
  <si>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</si>
  <si>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</si>
  <si>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</si>
  <si>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</si>
  <si>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</si>
  <si>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</si>
  <si>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</si>
  <si>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</si>
  <si>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</si>
  <si>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</si>
  <si>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</si>
  <si>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</si>
  <si>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</si>
  <si>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</si>
  <si>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</si>
  <si>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</si>
  <si>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</si>
  <si>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</si>
  <si>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</si>
  <si>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</si>
  <si>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</si>
  <si>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</si>
  <si>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</si>
  <si>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</si>
  <si>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</si>
  <si>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</si>
  <si>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</si>
  <si>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</si>
  <si>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</si>
  <si>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</si>
  <si>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</si>
  <si>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</si>
  <si>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</si>
  <si>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</si>
  <si>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</si>
  <si>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</si>
  <si>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</si>
  <si>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</si>
  <si>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</si>
  <si>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</si>
  <si>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</si>
  <si>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</si>
  <si>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</si>
  <si>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</si>
  <si>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</si>
  <si>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</si>
  <si>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</si>
  <si>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</si>
  <si>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</si>
  <si>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</si>
  <si>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</si>
  <si>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</si>
  <si>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</si>
  <si>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</si>
  <si>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</si>
  <si>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</si>
  <si>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</si>
  <si>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</si>
  <si>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</si>
  <si>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</si>
  <si>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</si>
  <si>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</si>
  <si>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</si>
  <si>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</si>
  <si>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</si>
  <si>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</si>
  <si>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</si>
  <si>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</si>
  <si>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</si>
  <si>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</si>
  <si>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</si>
  <si>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</si>
  <si>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</si>
  <si>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</si>
  <si>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</si>
  <si>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</si>
  <si>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</si>
  <si>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</si>
  <si>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</si>
  <si>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</si>
  <si>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</si>
  <si>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</si>
  <si>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</si>
  <si>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</si>
  <si>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</si>
  <si>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</si>
  <si>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</si>
  <si>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</si>
  <si>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</si>
  <si>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</si>
  <si>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</si>
  <si>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</si>
  <si>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</si>
  <si>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</si>
  <si>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</si>
  <si>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</si>
  <si>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</si>
  <si>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</si>
  <si>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</si>
  <si>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</si>
  <si>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</si>
  <si>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</si>
  <si>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</si>
  <si>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</si>
  <si>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</si>
  <si>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</si>
  <si>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</si>
  <si>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</si>
  <si>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</si>
  <si>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</si>
  <si>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</si>
  <si>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</si>
  <si>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</si>
  <si>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</si>
  <si>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</si>
  <si>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</si>
  <si>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</si>
  <si>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</si>
  <si>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</si>
  <si>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</si>
  <si>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</si>
  <si>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</si>
  <si>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</si>
  <si>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</si>
  <si>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</si>
  <si>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</si>
  <si>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</si>
  <si>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</si>
  <si>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</si>
  <si>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</si>
  <si>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</si>
  <si>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</si>
  <si>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</si>
  <si>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</si>
  <si>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</si>
  <si>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</si>
  <si>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</si>
  <si>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</si>
  <si>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</si>
  <si>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</si>
  <si>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</si>
  <si>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</si>
  <si>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</si>
  <si>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</si>
  <si>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</si>
  <si>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</si>
  <si>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</si>
  <si>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</si>
  <si>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</si>
  <si>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</si>
  <si>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</si>
  <si>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</si>
  <si>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</si>
  <si>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</si>
  <si>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</si>
  <si>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</si>
  <si>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</si>
  <si>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</si>
  <si>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</si>
  <si>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</si>
  <si>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</si>
  <si>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</si>
  <si>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</si>
  <si>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</si>
  <si>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</si>
  <si>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</si>
  <si>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</si>
  <si>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</si>
  <si>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</si>
  <si>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</si>
  <si>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</si>
  <si>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</si>
  <si>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</si>
  <si>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</si>
  <si>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</si>
  <si>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</si>
  <si>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</si>
  <si>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</si>
  <si>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</si>
  <si>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</si>
  <si>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</si>
  <si>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</si>
  <si>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</si>
  <si>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</si>
  <si>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</si>
  <si>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</si>
  <si>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</si>
  <si>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</si>
  <si>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</si>
  <si>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</si>
  <si>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</si>
  <si>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</si>
  <si>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</si>
  <si>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</si>
  <si>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</si>
  <si>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</si>
  <si>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</si>
  <si>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</si>
  <si>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</si>
  <si>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</si>
  <si>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</si>
  <si>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</si>
  <si>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</si>
  <si>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</si>
  <si>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</si>
  <si>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</si>
  <si>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</si>
  <si>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</si>
  <si>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</si>
  <si>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</si>
  <si>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</si>
  <si>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</si>
  <si>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</si>
  <si>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</si>
  <si>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</si>
  <si>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</si>
  <si>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</si>
  <si>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</si>
  <si>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</si>
  <si>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</si>
  <si>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</si>
  <si>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</si>
  <si>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</si>
  <si>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</si>
  <si>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</si>
  <si>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</si>
  <si>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</si>
  <si>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</si>
  <si>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</si>
  <si>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</si>
  <si>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</si>
  <si>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</si>
  <si>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</si>
  <si>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</si>
  <si>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</si>
  <si>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</si>
  <si>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</si>
  <si>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</si>
  <si>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</si>
  <si>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</si>
  <si>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</si>
  <si>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</si>
  <si>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</si>
  <si>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</si>
  <si>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</si>
  <si>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</si>
  <si>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</si>
  <si>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</si>
  <si>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</si>
  <si>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</si>
  <si>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</si>
  <si>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</si>
  <si>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</si>
  <si>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</si>
  <si>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</si>
  <si>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</si>
  <si>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</si>
  <si>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</si>
  <si>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</si>
  <si>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</si>
  <si>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</si>
  <si>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</si>
  <si>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</si>
  <si>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</si>
  <si>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</si>
  <si>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</si>
  <si>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</si>
  <si>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</si>
  <si>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</si>
  <si>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</si>
  <si>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</si>
  <si>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</si>
  <si>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</si>
  <si>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</si>
  <si>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</si>
  <si>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</si>
  <si>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</si>
  <si>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</si>
  <si>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</si>
  <si>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</si>
  <si>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</si>
  <si>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</si>
  <si>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</si>
  <si>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</si>
  <si>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</si>
  <si>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</si>
  <si>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</si>
  <si>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</si>
  <si>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</si>
  <si>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</si>
  <si>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</si>
  <si>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</si>
  <si>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</si>
  <si>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</si>
  <si>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</si>
  <si>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</si>
  <si>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</si>
  <si>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</si>
  <si>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</si>
  <si>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</si>
  <si>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</si>
  <si>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</si>
  <si>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</si>
  <si>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</si>
  <si>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</si>
  <si>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</si>
  <si>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</si>
  <si>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</si>
  <si>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</si>
  <si>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</si>
  <si>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</si>
  <si>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</si>
  <si>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</si>
  <si>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</si>
  <si>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</si>
  <si>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</si>
  <si>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</si>
  <si>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</si>
  <si>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</si>
  <si>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</si>
  <si>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</si>
  <si>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</si>
  <si>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</si>
  <si>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</si>
  <si>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</si>
  <si>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</si>
  <si>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</si>
  <si>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</si>
  <si>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</si>
  <si>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</si>
  <si>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</si>
  <si>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</si>
  <si>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</si>
  <si>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</si>
  <si>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</si>
  <si>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</si>
  <si>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</si>
  <si>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</si>
  <si>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</si>
  <si>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</si>
  <si>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</si>
  <si>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</si>
  <si>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</si>
  <si>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</si>
  <si>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</si>
  <si>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</si>
  <si>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</si>
  <si>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</si>
  <si>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</si>
  <si>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</si>
  <si>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</si>
  <si>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</si>
  <si>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</si>
  <si>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</si>
  <si>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</si>
  <si>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</si>
  <si>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</si>
  <si>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</si>
  <si>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</si>
  <si>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</si>
  <si>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</si>
  <si>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</si>
  <si>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</si>
  <si>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</si>
  <si>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</si>
  <si>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</si>
  <si>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</si>
  <si>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</si>
  <si>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</si>
  <si>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</si>
  <si>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</si>
  <si>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</si>
  <si>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</si>
  <si>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</si>
  <si>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</si>
  <si>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</si>
  <si>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</si>
  <si>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</si>
  <si>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</si>
  <si>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</si>
  <si>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</si>
  <si>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</si>
  <si>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</si>
  <si>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</si>
  <si>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</si>
  <si>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</si>
  <si>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</si>
  <si>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</si>
  <si>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</si>
  <si>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</si>
  <si>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</si>
  <si>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</si>
  <si>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</si>
  <si>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</si>
  <si>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</si>
  <si>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</si>
  <si>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</si>
  <si>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</si>
  <si>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</si>
  <si>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</si>
  <si>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</si>
  <si>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</si>
  <si>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</si>
  <si>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</si>
  <si>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</si>
  <si>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</si>
  <si>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</si>
  <si>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</si>
  <si>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</si>
  <si>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</si>
  <si>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</si>
  <si>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</si>
  <si>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</si>
  <si>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</si>
  <si>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</si>
  <si>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</si>
  <si>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</si>
  <si>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</si>
  <si>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</si>
  <si>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</si>
  <si>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</si>
  <si>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</si>
  <si>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</si>
  <si>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</si>
  <si>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</si>
  <si>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</si>
  <si>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</si>
  <si>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</si>
  <si>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</si>
  <si>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</si>
  <si>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</si>
  <si>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</si>
  <si>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</si>
  <si>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</si>
  <si>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</si>
  <si>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</si>
  <si>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</si>
  <si>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</si>
  <si>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</si>
  <si>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</si>
  <si>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</si>
  <si>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</si>
  <si>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</si>
  <si>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</si>
  <si>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</si>
  <si>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</si>
  <si>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</si>
  <si>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</si>
  <si>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</si>
  <si>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</si>
  <si>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</si>
  <si>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</si>
  <si>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</si>
  <si>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</si>
  <si>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</si>
  <si>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</si>
  <si>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</si>
  <si>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</si>
  <si>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</si>
  <si>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</si>
  <si>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</si>
  <si>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</si>
  <si>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</si>
  <si>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</si>
  <si>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</si>
  <si>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</si>
  <si>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</si>
  <si>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</si>
  <si>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</si>
  <si>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</si>
  <si>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</si>
  <si>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</si>
  <si>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</si>
  <si>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</si>
  <si>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</si>
  <si>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</si>
  <si>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</si>
  <si>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</si>
  <si>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</si>
  <si>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</si>
  <si>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</si>
  <si>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</si>
  <si>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</si>
  <si>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</si>
  <si>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</si>
  <si>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</si>
  <si>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</si>
  <si>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</si>
  <si>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</si>
  <si>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</si>
  <si>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</si>
  <si>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</si>
  <si>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</si>
  <si>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</si>
  <si>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</si>
  <si>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</si>
  <si>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</si>
  <si>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</si>
  <si>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</si>
  <si>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</si>
  <si>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</si>
  <si>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</si>
  <si>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</si>
  <si>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</si>
  <si>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</si>
  <si>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</si>
  <si>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</si>
  <si>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</si>
  <si>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</si>
  <si>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</si>
  <si>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</si>
  <si>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</si>
  <si>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</si>
  <si>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</si>
  <si>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</si>
  <si>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</si>
  <si>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</si>
  <si>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</si>
  <si>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</si>
  <si>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</si>
  <si>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</si>
  <si>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</si>
  <si>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</si>
  <si>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</si>
  <si>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</si>
  <si>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</si>
  <si>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</si>
  <si>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</si>
  <si>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</si>
  <si>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</si>
  <si>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</si>
  <si>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</si>
  <si>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</si>
  <si>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</si>
  <si>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</si>
  <si>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</si>
  <si>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</si>
  <si>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</si>
  <si>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</si>
  <si>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</si>
  <si>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</si>
  <si>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</si>
  <si>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</si>
  <si>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</si>
  <si>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</si>
  <si>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</si>
  <si>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</si>
  <si>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</si>
  <si>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</si>
  <si>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</si>
  <si>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</si>
  <si>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</si>
  <si>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</si>
  <si>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</si>
  <si>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</si>
  <si>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</si>
  <si>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</si>
  <si>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</si>
  <si>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</si>
  <si>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</si>
  <si>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</si>
  <si>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</si>
  <si>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</si>
  <si>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</si>
  <si>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</si>
  <si>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</si>
  <si>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</si>
  <si>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</si>
  <si>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</si>
  <si>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</si>
  <si>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</si>
  <si>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</si>
  <si>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</si>
  <si>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</si>
  <si>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</si>
  <si>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</si>
  <si>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</si>
  <si>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</si>
  <si>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</si>
  <si>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</si>
  <si>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</si>
  <si>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</si>
  <si>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</si>
  <si>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</si>
  <si>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</si>
  <si>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</si>
  <si>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</si>
  <si>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</si>
  <si>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</si>
  <si>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</si>
  <si>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</si>
  <si>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</si>
  <si>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</si>
  <si>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</si>
  <si>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</si>
  <si>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</si>
  <si>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</si>
  <si>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</si>
  <si>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</si>
  <si>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</si>
  <si>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</si>
  <si>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</si>
  <si>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</si>
  <si>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</si>
  <si>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</si>
  <si>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</si>
  <si>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</si>
  <si>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</si>
  <si>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</si>
  <si>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</si>
  <si>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</si>
  <si>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</si>
  <si>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</si>
  <si>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</si>
  <si>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</si>
  <si>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</si>
  <si>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</si>
  <si>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</si>
  <si>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</si>
  <si>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</si>
  <si>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</si>
  <si>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</si>
  <si>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</si>
  <si>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</si>
  <si>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</si>
  <si>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</si>
  <si>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</si>
  <si>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</si>
  <si>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</si>
  <si>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</si>
  <si>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</si>
  <si>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</si>
  <si>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</si>
  <si>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</si>
  <si>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</si>
  <si>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</si>
  <si>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</si>
  <si>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</si>
  <si>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</si>
  <si>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</si>
  <si>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</si>
  <si>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</si>
  <si>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</si>
  <si>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</si>
  <si>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</si>
  <si>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</si>
  <si>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</si>
  <si>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</si>
  <si>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</si>
  <si>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</si>
  <si>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</si>
  <si>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</si>
  <si>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</si>
  <si>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</si>
  <si>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</si>
  <si>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</si>
  <si>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</si>
  <si>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</si>
  <si>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</si>
  <si>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</si>
  <si>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</si>
  <si>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</si>
  <si>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</si>
  <si>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</si>
  <si>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</si>
  <si>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</si>
  <si>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</si>
  <si>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</si>
  <si>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</si>
  <si>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</si>
  <si>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</si>
  <si>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</si>
  <si>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</si>
  <si>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</si>
  <si>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</si>
  <si>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</si>
  <si>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</si>
  <si>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</si>
  <si>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</si>
  <si>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</si>
  <si>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</si>
  <si>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</si>
  <si>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</si>
  <si>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</si>
  <si>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</si>
  <si>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</si>
  <si>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</si>
  <si>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</si>
  <si>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</si>
  <si>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</si>
  <si>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</si>
  <si>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</si>
  <si>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</si>
  <si>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</si>
  <si>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</si>
  <si>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</si>
  <si>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</si>
  <si>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</si>
  <si>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</si>
  <si>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</si>
  <si>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</si>
  <si>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</si>
  <si>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</si>
  <si>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</si>
  <si>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</si>
  <si>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</si>
  <si>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</si>
  <si>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</si>
  <si>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</si>
  <si>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</si>
  <si>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</si>
  <si>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</si>
  <si>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</si>
  <si>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</si>
  <si>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</si>
  <si>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</si>
  <si>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</si>
  <si>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</si>
  <si>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</si>
  <si>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</si>
  <si>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</si>
  <si>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</si>
  <si>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</si>
  <si>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</si>
  <si>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</si>
  <si>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</si>
  <si>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</si>
  <si>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</si>
  <si>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</si>
  <si>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</si>
  <si>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</si>
  <si>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</si>
  <si>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</si>
  <si>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</si>
  <si>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</si>
  <si>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</si>
  <si>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</si>
  <si>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</si>
  <si>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</si>
  <si>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</si>
  <si>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</si>
  <si>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</si>
  <si>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</si>
  <si>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</si>
  <si>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</si>
  <si>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</si>
  <si>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</si>
  <si>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</si>
  <si>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</si>
  <si>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</si>
  <si>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</si>
  <si>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</si>
  <si>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</si>
  <si>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</si>
  <si>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</si>
  <si>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</si>
  <si>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</si>
  <si>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</si>
  <si>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</si>
  <si>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</si>
  <si>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</si>
  <si>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</si>
  <si>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</si>
  <si>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</si>
  <si>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</si>
  <si>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</si>
  <si>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</si>
  <si>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</si>
  <si>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</si>
  <si>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</si>
  <si>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</si>
  <si>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</si>
  <si>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</si>
  <si>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</si>
  <si>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</si>
  <si>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</si>
  <si>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</si>
  <si>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</si>
  <si>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</si>
  <si>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</si>
  <si>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</si>
  <si>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</si>
  <si>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</si>
  <si>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</si>
  <si>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</si>
  <si>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</si>
  <si>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</si>
  <si>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</si>
  <si>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</si>
  <si>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</si>
  <si>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</si>
  <si>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</si>
  <si>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</si>
  <si>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</si>
  <si>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</si>
  <si>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</si>
  <si>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</si>
  <si>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</si>
  <si>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</si>
  <si>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</si>
  <si>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</si>
  <si>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</si>
  <si>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</si>
  <si>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</si>
  <si>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</si>
  <si>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</si>
  <si>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</si>
  <si>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</si>
  <si>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</si>
  <si>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</si>
  <si>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</si>
  <si>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</si>
  <si>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</si>
  <si>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</si>
  <si>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</si>
  <si>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</si>
  <si>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</si>
  <si>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</si>
  <si>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</si>
  <si>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</si>
  <si>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</si>
  <si>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</si>
  <si>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</si>
  <si>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</si>
  <si>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</si>
  <si>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</si>
  <si>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</si>
  <si>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</si>
  <si>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</si>
  <si>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</si>
  <si>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</si>
  <si>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</si>
  <si>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</si>
  <si>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</si>
  <si>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</si>
  <si>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</si>
  <si>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</si>
  <si>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</si>
  <si>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</si>
  <si>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</si>
  <si>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</si>
  <si>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</si>
  <si>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</si>
  <si>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</si>
  <si>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</si>
  <si>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</si>
  <si>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</si>
  <si>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</si>
  <si>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</si>
  <si>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</si>
  <si>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</si>
  <si>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</si>
  <si>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</si>
  <si>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</si>
  <si>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</si>
  <si>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</si>
  <si>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</si>
  <si>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</si>
  <si>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</si>
  <si>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</si>
  <si>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</si>
  <si>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</si>
  <si>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</si>
  <si>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</si>
  <si>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</si>
  <si>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</si>
  <si>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</si>
  <si>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</si>
  <si>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</si>
  <si>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</si>
  <si>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</si>
  <si>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</si>
  <si>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</si>
  <si>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</si>
  <si>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</si>
  <si>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</si>
  <si>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</si>
  <si>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</si>
  <si>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</si>
  <si>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</si>
  <si>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</si>
  <si>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</si>
  <si>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</si>
  <si>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</si>
  <si>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</si>
  <si>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</si>
  <si>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</si>
  <si>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</si>
  <si>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</si>
  <si>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</si>
  <si>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</si>
  <si>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</si>
  <si>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</si>
  <si>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</si>
  <si>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</si>
  <si>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</si>
  <si>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</si>
  <si>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</si>
  <si>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</si>
  <si>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</si>
  <si>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</si>
  <si>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</si>
  <si>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</si>
  <si>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</si>
  <si>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</si>
  <si>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</si>
  <si>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</si>
  <si>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</si>
  <si>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</si>
  <si>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</si>
  <si>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</si>
  <si>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</si>
  <si>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</si>
  <si>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</si>
  <si>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</si>
  <si>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</si>
  <si>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</si>
  <si>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</si>
  <si>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</si>
  <si>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</si>
  <si>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</si>
  <si>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</si>
  <si>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</si>
  <si>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</si>
  <si>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</si>
  <si>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</si>
  <si>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</si>
  <si>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</si>
  <si>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</si>
  <si>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</si>
  <si>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</si>
  <si>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</si>
  <si>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</si>
  <si>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</si>
  <si>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</si>
  <si>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</si>
  <si>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</si>
  <si>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</si>
  <si>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</si>
  <si>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</si>
  <si>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</si>
  <si>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</si>
  <si>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</si>
  <si>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</si>
  <si>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</si>
  <si>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</si>
  <si>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</si>
  <si>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</si>
  <si>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</si>
  <si>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</si>
  <si>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</si>
  <si>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</si>
  <si>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</si>
  <si>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</si>
  <si>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</si>
  <si>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</si>
  <si>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</si>
  <si>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</si>
  <si>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</si>
  <si>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</si>
  <si>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</si>
  <si>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</si>
  <si>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</si>
  <si>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</si>
  <si>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</si>
  <si>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</si>
  <si>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</si>
  <si>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</si>
  <si>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</si>
  <si>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</si>
  <si>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</si>
  <si>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</si>
  <si>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</si>
  <si>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</si>
  <si>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</si>
  <si>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</si>
  <si>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</si>
  <si>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</si>
  <si>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</si>
  <si>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</si>
  <si>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</si>
  <si>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</si>
  <si>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</si>
  <si>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</si>
  <si>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</si>
  <si>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</si>
  <si>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</si>
  <si>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</si>
  <si>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</si>
  <si>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</si>
  <si>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</si>
  <si>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</si>
  <si>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</si>
  <si>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</si>
  <si>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</si>
  <si>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</si>
  <si>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</si>
  <si>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</si>
  <si>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</si>
  <si>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</si>
  <si>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</si>
  <si>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</si>
  <si>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</si>
  <si>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</si>
  <si>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</si>
  <si>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</si>
  <si>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</si>
  <si>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</si>
  <si>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</si>
  <si>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</si>
  <si>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</si>
  <si>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</si>
  <si>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</si>
  <si>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</si>
  <si>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</si>
  <si>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</si>
  <si>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</si>
  <si>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</si>
  <si>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</si>
  <si>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</si>
  <si>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</si>
  <si>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</si>
  <si>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</si>
  <si>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</si>
  <si>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</si>
  <si>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</si>
  <si>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</si>
  <si>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</si>
  <si>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</si>
  <si>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</si>
  <si>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</si>
  <si>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</si>
  <si>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</si>
  <si>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</si>
  <si>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</si>
  <si>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</si>
  <si>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</si>
  <si>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</si>
  <si>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</si>
  <si>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</si>
  <si>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</si>
  <si>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</si>
  <si>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</si>
  <si>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</si>
  <si>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</si>
  <si>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</si>
  <si>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</si>
  <si>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</si>
  <si>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</si>
  <si>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</si>
  <si>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</si>
  <si>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</si>
  <si>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</si>
  <si>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</si>
  <si>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</si>
  <si>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</si>
  <si>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</si>
  <si>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</si>
  <si>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</si>
  <si>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</si>
  <si>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</si>
  <si>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</si>
  <si>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</si>
  <si>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</si>
  <si>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</si>
  <si>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</si>
  <si>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</si>
  <si>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</si>
  <si>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</si>
  <si>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</si>
  <si>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</si>
  <si>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</si>
  <si>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</si>
  <si>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</si>
  <si>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</si>
  <si>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</si>
  <si>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</si>
  <si>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</si>
  <si>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</si>
  <si>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</si>
  <si>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</si>
  <si>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</si>
  <si>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</si>
  <si>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</si>
  <si>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</si>
  <si>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</si>
  <si>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</si>
  <si>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</si>
  <si>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</si>
  <si>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</si>
  <si>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</si>
  <si>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</si>
  <si>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</si>
  <si>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</si>
  <si>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</si>
  <si>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</si>
  <si>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</si>
  <si>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</si>
  <si>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</si>
  <si>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</si>
  <si>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</si>
  <si>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</si>
  <si>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</si>
  <si>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</si>
  <si>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</si>
  <si>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</si>
  <si>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</si>
  <si>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</si>
  <si>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</si>
  <si>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</si>
  <si>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</si>
  <si>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</si>
  <si>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</si>
  <si>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</si>
  <si>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</si>
  <si>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</si>
  <si>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</si>
  <si>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</si>
  <si>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</si>
  <si>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</si>
  <si>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</si>
  <si>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</si>
  <si>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</si>
  <si>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</si>
  <si>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</si>
  <si>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</si>
  <si>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</si>
  <si>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</si>
  <si>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</si>
  <si>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</si>
  <si>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</si>
  <si>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</si>
  <si>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</si>
  <si>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</si>
  <si>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</si>
  <si>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</si>
  <si>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</si>
  <si>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</si>
  <si>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</si>
  <si>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</si>
  <si>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</si>
  <si>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</si>
  <si>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</si>
  <si>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</si>
  <si>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</si>
  <si>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</si>
  <si>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</si>
  <si>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</si>
  <si>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</si>
  <si>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</si>
  <si>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</si>
  <si>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</si>
  <si>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</si>
  <si>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</si>
  <si>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</si>
  <si>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</si>
  <si>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</si>
  <si>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</si>
  <si>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</si>
  <si>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</si>
  <si>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</si>
  <si>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</si>
  <si>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</si>
  <si>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</si>
  <si>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</si>
  <si>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</si>
  <si>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</si>
  <si>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</si>
  <si>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</si>
  <si>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</si>
  <si>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</si>
  <si>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</si>
  <si>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</si>
  <si>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</si>
  <si>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</si>
  <si>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</si>
  <si>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</si>
  <si>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</si>
  <si>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</si>
  <si>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</si>
  <si>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</si>
  <si>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</si>
  <si>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</si>
  <si>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</si>
  <si>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</si>
  <si>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</si>
  <si>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</si>
  <si>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</si>
  <si>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</si>
  <si>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</si>
  <si>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</si>
  <si>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</si>
  <si>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</si>
  <si>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</si>
  <si>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</si>
  <si>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</si>
  <si>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</si>
  <si>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</si>
  <si>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</si>
  <si>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</si>
  <si>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</si>
  <si>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</si>
  <si>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</si>
  <si>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</si>
  <si>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</si>
  <si>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</si>
  <si>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</si>
  <si>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</si>
  <si>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</si>
  <si>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</si>
  <si>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</si>
  <si>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</si>
  <si>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</si>
  <si>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</si>
  <si>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</si>
  <si>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</si>
  <si>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</si>
  <si>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</si>
  <si>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</si>
  <si>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</si>
  <si>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</si>
  <si>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</si>
  <si>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</si>
  <si>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</si>
  <si>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</si>
  <si>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</si>
  <si>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</si>
  <si>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</si>
  <si>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</si>
  <si>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</si>
  <si>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</si>
  <si>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</si>
  <si>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</si>
  <si>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</si>
  <si>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</si>
  <si>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</si>
  <si>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</si>
  <si>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</si>
  <si>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</si>
  <si>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</si>
  <si>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</si>
  <si>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</si>
  <si>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</si>
  <si>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</si>
  <si>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</si>
  <si>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</si>
  <si>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</si>
  <si>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</si>
  <si>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</si>
  <si>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</si>
  <si>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</si>
  <si>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</si>
  <si>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</si>
  <si>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</si>
  <si>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</si>
  <si>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</si>
  <si>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</si>
  <si>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</si>
  <si>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</si>
  <si>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</si>
  <si>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</si>
  <si>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</si>
  <si>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</si>
  <si>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</si>
  <si>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</si>
  <si>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</si>
  <si>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</si>
  <si>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</si>
  <si>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</si>
  <si>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</si>
  <si>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</si>
  <si>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</si>
  <si>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</si>
  <si>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</si>
  <si>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</si>
  <si>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</si>
  <si>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</si>
  <si>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</si>
  <si>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</si>
  <si>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</si>
  <si>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</si>
  <si>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</si>
  <si>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</si>
  <si>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</si>
  <si>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</si>
  <si>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</si>
  <si>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</si>
  <si>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</si>
  <si>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</si>
  <si>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</si>
  <si>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</si>
  <si>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</si>
  <si>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</si>
  <si>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</si>
  <si>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</si>
  <si>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</si>
  <si>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</si>
  <si>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</si>
  <si>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</si>
  <si>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</si>
  <si>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</si>
  <si>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</si>
  <si>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</si>
  <si>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</si>
  <si>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</si>
  <si>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</si>
  <si>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</si>
  <si>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</si>
  <si>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</si>
  <si>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</si>
  <si>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</si>
  <si>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</si>
  <si>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</si>
  <si>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</si>
  <si>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</si>
  <si>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</si>
  <si>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</si>
  <si>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</si>
  <si>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</si>
  <si>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</si>
  <si>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</si>
  <si>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</si>
  <si>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</si>
  <si>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</si>
  <si>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</si>
  <si>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</si>
  <si>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</si>
  <si>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</si>
  <si>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</si>
  <si>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</si>
  <si>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</si>
  <si>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</si>
  <si>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</si>
  <si>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</si>
  <si>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</si>
  <si>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</si>
  <si>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</si>
  <si>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</si>
  <si>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</si>
  <si>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</si>
  <si>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</si>
  <si>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</si>
  <si>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</si>
  <si>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</si>
  <si>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</si>
  <si>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</si>
  <si>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</si>
  <si>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</si>
  <si>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</si>
  <si>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</si>
  <si>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</si>
  <si>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</si>
  <si>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</si>
  <si>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</si>
  <si>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</si>
  <si>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</si>
  <si>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</si>
  <si>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</si>
  <si>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</si>
  <si>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</si>
  <si>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</si>
  <si>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</si>
  <si>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</si>
  <si>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</si>
  <si>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</si>
  <si>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</si>
  <si>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</si>
  <si>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</si>
  <si>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</si>
  <si>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</si>
  <si>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</si>
  <si>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</si>
  <si>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</si>
  <si>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</si>
  <si>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</si>
  <si>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</si>
  <si>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</si>
  <si>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</si>
  <si>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</si>
  <si>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</si>
  <si>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</si>
  <si>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</si>
  <si>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</si>
  <si>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</si>
  <si>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</si>
  <si>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</si>
  <si>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</si>
  <si>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</si>
  <si>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</si>
  <si>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</si>
  <si>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</si>
  <si>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</si>
  <si>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</si>
  <si>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</si>
  <si>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</si>
  <si>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</si>
  <si>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</si>
  <si>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</si>
  <si>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</si>
  <si>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</si>
  <si>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</si>
  <si>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</si>
  <si>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</si>
  <si>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</si>
  <si>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</si>
  <si>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</si>
  <si>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</si>
  <si>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</si>
  <si>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</si>
  <si>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</si>
  <si>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</si>
  <si>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</si>
  <si>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</si>
  <si>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</si>
  <si>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</si>
  <si>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</si>
  <si>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</si>
  <si>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</si>
  <si>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</si>
  <si>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</si>
  <si>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</si>
  <si>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</si>
  <si>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</si>
  <si>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</si>
  <si>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</si>
  <si>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</si>
  <si>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</si>
  <si>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</si>
  <si>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</si>
  <si>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</si>
  <si>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</si>
  <si>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</si>
  <si>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</si>
  <si>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</si>
  <si>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</si>
  <si>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</si>
  <si>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</si>
  <si>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</si>
  <si>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</si>
  <si>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</si>
  <si>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</si>
  <si>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</si>
  <si>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</si>
  <si>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</si>
  <si>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</si>
  <si>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</si>
  <si>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</si>
  <si>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</si>
  <si>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</si>
  <si>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</si>
  <si>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</si>
  <si>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</si>
  <si>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</si>
  <si>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</si>
  <si>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</si>
  <si>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</si>
  <si>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</si>
  <si>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</si>
  <si>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</si>
  <si>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</si>
  <si>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</si>
  <si>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</si>
  <si>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</si>
  <si>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</si>
  <si>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</si>
  <si>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</si>
  <si>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</si>
  <si>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</si>
  <si>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</si>
  <si>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</si>
  <si>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</si>
  <si>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</si>
  <si>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</si>
  <si>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</si>
  <si>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</si>
  <si>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</si>
  <si>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</si>
  <si>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</si>
  <si>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</si>
  <si>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</si>
  <si>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</si>
  <si>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</si>
  <si>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</si>
  <si>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</si>
  <si>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</si>
  <si>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</si>
  <si>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</si>
  <si>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</si>
  <si>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</si>
  <si>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</si>
  <si>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</si>
  <si>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</si>
  <si>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</si>
  <si>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</si>
  <si>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</si>
  <si>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</si>
  <si>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</si>
  <si>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</si>
  <si>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</si>
  <si>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</si>
  <si>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</si>
  <si>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</si>
  <si>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</si>
  <si>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</si>
  <si>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</si>
  <si>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</si>
  <si>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</si>
  <si>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</si>
  <si>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</si>
  <si>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</si>
  <si>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</si>
  <si>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</si>
  <si>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</si>
  <si>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</si>
  <si>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</si>
  <si>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</si>
  <si>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</si>
  <si>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</si>
  <si>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</si>
  <si>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</si>
  <si>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</si>
  <si>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</si>
  <si>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</si>
  <si>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</si>
  <si>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</si>
  <si>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</si>
  <si>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</si>
  <si>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</si>
  <si>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</si>
  <si>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</si>
  <si>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</si>
  <si>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</si>
  <si>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</si>
  <si>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</si>
  <si>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</si>
  <si>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</si>
  <si>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</si>
  <si>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</si>
  <si>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</si>
  <si>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</si>
  <si>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</si>
  <si>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</si>
  <si>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</si>
  <si>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</si>
  <si>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</si>
  <si>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</si>
  <si>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</si>
  <si>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</si>
  <si>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</si>
  <si>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</si>
  <si>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</si>
  <si>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</si>
  <si>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</si>
  <si>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</si>
  <si>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</si>
  <si>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</si>
  <si>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</si>
  <si>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</si>
  <si>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</si>
  <si>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</si>
  <si>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</si>
  <si>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</si>
  <si>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</si>
  <si>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</si>
  <si>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</si>
  <si>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</si>
  <si>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</si>
  <si>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</si>
  <si>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</si>
  <si>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</si>
  <si>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</si>
  <si>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</si>
  <si>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</si>
  <si>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</si>
  <si>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</si>
  <si>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</si>
  <si>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</si>
  <si>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</si>
  <si>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</si>
  <si>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</si>
  <si>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</si>
  <si>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</si>
  <si>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</si>
  <si>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</si>
  <si>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</si>
  <si>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</si>
  <si>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</si>
  <si>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</si>
  <si>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</si>
  <si>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</si>
  <si>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</si>
  <si>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</si>
  <si>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</si>
  <si>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</si>
  <si>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</si>
  <si>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</si>
  <si>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</si>
  <si>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</si>
  <si>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</si>
  <si>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</si>
  <si>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</si>
  <si>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</si>
  <si>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</si>
  <si>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</si>
  <si>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</si>
  <si>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</si>
  <si>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</si>
  <si>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</si>
  <si>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</si>
  <si>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</si>
  <si>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</si>
  <si>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</si>
  <si>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</si>
  <si>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</si>
  <si>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</si>
  <si>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</si>
  <si>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</si>
  <si>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</si>
  <si>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</si>
  <si>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</si>
  <si>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</si>
  <si>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</si>
  <si>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</si>
  <si>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</si>
  <si>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</si>
  <si>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</si>
  <si>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</si>
  <si>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</si>
  <si>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</si>
  <si>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</si>
  <si>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</si>
  <si>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</si>
  <si>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</si>
  <si>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</si>
  <si>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</si>
  <si>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</si>
  <si>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</si>
  <si>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</si>
  <si>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</si>
  <si>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</si>
  <si>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</si>
  <si>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</si>
  <si>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</si>
  <si>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</si>
  <si>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</si>
  <si>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</si>
  <si>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</si>
  <si>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</si>
  <si>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</si>
  <si>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</si>
  <si>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</si>
  <si>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</si>
  <si>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</si>
  <si>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</si>
  <si>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</si>
  <si>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</si>
  <si>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</si>
  <si>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</si>
  <si>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</si>
  <si>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</si>
  <si>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</si>
  <si>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</si>
  <si>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</si>
  <si>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</si>
  <si>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</si>
  <si>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</si>
  <si>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</si>
  <si>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</si>
  <si>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</si>
  <si>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</si>
  <si>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</si>
  <si>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</si>
  <si>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</si>
  <si>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</si>
  <si>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</si>
  <si>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</si>
  <si>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</si>
  <si>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</si>
  <si>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</si>
  <si>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</si>
  <si>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</si>
  <si>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</si>
  <si>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</si>
  <si>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</si>
  <si>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</si>
  <si>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</si>
  <si>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</si>
  <si>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</si>
  <si>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</si>
  <si>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</si>
  <si>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</si>
  <si>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</si>
  <si>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</si>
  <si>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</si>
  <si>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</si>
  <si>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</si>
  <si>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</si>
  <si>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</si>
  <si>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</si>
  <si>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</si>
  <si>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</si>
  <si>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</si>
  <si>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</si>
  <si>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</si>
  <si>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</si>
  <si>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</si>
  <si>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</si>
  <si>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</si>
  <si>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</si>
  <si>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</si>
  <si>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</si>
  <si>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</si>
  <si>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</si>
  <si>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</si>
  <si>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</si>
  <si>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</si>
  <si>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</si>
  <si>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</si>
  <si>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</si>
  <si>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</si>
  <si>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</si>
  <si>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</si>
  <si>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</si>
  <si>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</si>
  <si>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</si>
  <si>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</si>
  <si>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</si>
  <si>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</si>
  <si>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</si>
  <si>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</si>
  <si>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</si>
  <si>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</si>
  <si>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</si>
  <si>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</si>
  <si>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</si>
  <si>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</si>
  <si>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</si>
  <si>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</si>
  <si>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</si>
  <si>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</si>
  <si>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</si>
  <si>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</si>
  <si>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</si>
  <si>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</si>
  <si>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</si>
  <si>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</si>
  <si>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</si>
  <si>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</si>
  <si>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</si>
  <si>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</si>
  <si>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</si>
  <si>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</si>
  <si>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</si>
  <si>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</si>
  <si>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</si>
  <si>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</si>
  <si>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</si>
  <si>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</si>
  <si>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</si>
  <si>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</si>
  <si>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</si>
  <si>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</si>
  <si>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</si>
  <si>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</si>
  <si>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</si>
  <si>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</si>
  <si>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</si>
  <si>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</si>
  <si>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</si>
  <si>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</si>
  <si>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</si>
  <si>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</si>
  <si>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</si>
  <si>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</si>
  <si>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</si>
  <si>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</si>
  <si>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</si>
  <si>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</si>
  <si>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</si>
  <si>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</si>
  <si>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</si>
  <si>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</si>
  <si>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</si>
  <si>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</si>
  <si>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</si>
  <si>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</si>
  <si>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</si>
  <si>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</si>
  <si>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</si>
  <si>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</si>
  <si>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</si>
  <si>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</si>
  <si>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</si>
  <si>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</si>
  <si>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</si>
  <si>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</si>
  <si>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</si>
  <si>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</si>
  <si>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</si>
  <si>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</si>
  <si>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</si>
  <si>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</si>
  <si>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</si>
  <si>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</si>
  <si>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</si>
  <si>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</si>
  <si>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</si>
  <si>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</si>
  <si>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</si>
  <si>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</si>
  <si>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</si>
  <si>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</si>
  <si>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</si>
  <si>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</si>
  <si>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</si>
  <si>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</si>
  <si>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</si>
  <si>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</si>
  <si>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</si>
  <si>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</si>
  <si>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</si>
  <si>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</si>
  <si>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</si>
  <si>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</si>
  <si>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</si>
  <si>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</si>
  <si>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</si>
  <si>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</si>
  <si>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</si>
  <si>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</si>
  <si>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</si>
  <si>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</si>
  <si>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</si>
  <si>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</si>
  <si>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</si>
  <si>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</si>
  <si>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</si>
  <si>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</si>
  <si>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</si>
  <si>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</si>
  <si>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</si>
  <si>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</si>
  <si>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</si>
  <si>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</si>
  <si>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</si>
  <si>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</si>
  <si>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</si>
  <si>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</si>
  <si>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</si>
  <si>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</si>
  <si>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</si>
  <si>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</si>
  <si>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</si>
  <si>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</si>
  <si>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</si>
  <si>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</si>
  <si>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</si>
  <si>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</si>
  <si>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</si>
  <si>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</si>
  <si>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</si>
  <si>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</si>
  <si>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</si>
  <si>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</si>
  <si>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</si>
  <si>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</si>
  <si>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</si>
  <si>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</si>
  <si>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</si>
  <si>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</si>
  <si>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</si>
  <si>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</si>
  <si>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</si>
  <si>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</si>
  <si>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</si>
  <si>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</si>
  <si>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</si>
  <si>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</si>
  <si>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</si>
  <si>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</si>
  <si>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</si>
  <si>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</si>
  <si>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</si>
  <si>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</si>
  <si>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</si>
  <si>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</si>
  <si>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</si>
  <si>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</si>
  <si>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</si>
  <si>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</si>
  <si>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</si>
  <si>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</si>
  <si>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</si>
  <si>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</si>
  <si>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</si>
  <si>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</si>
  <si>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</si>
  <si>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</si>
  <si>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</si>
  <si>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</si>
  <si>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</si>
  <si>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</si>
  <si>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</si>
  <si>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</si>
  <si>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</si>
  <si>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</si>
  <si>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</si>
  <si>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</si>
  <si>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</si>
  <si>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</si>
  <si>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</si>
  <si>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</si>
  <si>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</si>
  <si>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</si>
  <si>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</si>
  <si>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</si>
  <si>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</si>
  <si>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</si>
  <si>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</si>
  <si>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</si>
  <si>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</si>
  <si>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</si>
  <si>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</si>
  <si>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</si>
  <si>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</si>
  <si>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</si>
  <si>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</si>
  <si>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</si>
  <si>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</si>
  <si>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</si>
  <si>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</si>
  <si>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</si>
  <si>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</si>
  <si>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</si>
  <si>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</si>
  <si>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</si>
  <si>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</si>
  <si>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</si>
  <si>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</si>
  <si>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</si>
  <si>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</si>
  <si>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</si>
  <si>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</si>
  <si>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</si>
  <si>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</si>
  <si>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</si>
  <si>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</si>
  <si>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</si>
  <si>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</si>
  <si>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</si>
  <si>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</si>
  <si>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</si>
  <si>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</si>
  <si>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</si>
  <si>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</si>
  <si>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</si>
  <si>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</si>
  <si>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</si>
  <si>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</si>
  <si>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</si>
  <si>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</si>
  <si>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</si>
  <si>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</si>
  <si>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</si>
  <si>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</si>
  <si>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</si>
  <si>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</si>
  <si>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</si>
  <si>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</si>
  <si>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</si>
  <si>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</si>
  <si>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</si>
  <si>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</si>
  <si>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</si>
  <si>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</si>
  <si>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</si>
  <si>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</si>
  <si>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</si>
  <si>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</si>
  <si>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</si>
  <si>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</si>
  <si>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</si>
  <si>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</si>
  <si>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</si>
  <si>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</si>
  <si>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</si>
  <si>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</si>
  <si>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</si>
  <si>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</si>
  <si>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</si>
  <si>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</si>
  <si>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</si>
  <si>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</si>
  <si>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</si>
  <si>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</si>
  <si>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</si>
  <si>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</si>
  <si>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</si>
  <si>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</si>
  <si>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</si>
  <si>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</si>
  <si>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</si>
  <si>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</si>
  <si>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</si>
  <si>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</si>
  <si>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</si>
  <si>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</si>
  <si>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</si>
  <si>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</si>
  <si>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</si>
  <si>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</si>
  <si>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</si>
  <si>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</si>
  <si>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</si>
  <si>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</si>
  <si>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</si>
  <si>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</si>
  <si>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</si>
  <si>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</si>
  <si>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</si>
  <si>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</si>
  <si>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</si>
  <si>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</si>
  <si>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</si>
  <si>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</si>
  <si>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</si>
  <si>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</si>
  <si>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</si>
  <si>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</si>
  <si>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</si>
  <si>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</si>
  <si>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</si>
  <si>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</si>
  <si>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</si>
  <si>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</si>
  <si>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</si>
  <si>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</si>
  <si>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</si>
  <si>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</si>
  <si>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</si>
  <si>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</si>
  <si>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</si>
  <si>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</si>
  <si>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</si>
  <si>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</si>
  <si>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</si>
  <si>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</si>
  <si>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</si>
  <si>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</si>
  <si>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</si>
  <si>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</si>
  <si>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</si>
  <si>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</si>
  <si>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</si>
  <si>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</si>
  <si>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</si>
  <si>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</si>
  <si>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</si>
  <si>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</si>
  <si>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</si>
  <si>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</si>
  <si>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</si>
  <si>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</si>
  <si>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</si>
  <si>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</si>
  <si>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</si>
  <si>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</si>
  <si>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</si>
  <si>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</si>
  <si>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</si>
  <si>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</si>
  <si>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</si>
  <si>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</si>
  <si>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</si>
  <si>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</si>
  <si>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</si>
  <si>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</si>
  <si>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</si>
  <si>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</si>
  <si>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</si>
  <si>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</si>
  <si>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</si>
  <si>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</si>
  <si>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</si>
  <si>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</si>
  <si>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</si>
  <si>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</si>
  <si>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</si>
  <si>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</si>
  <si>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</si>
  <si>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</si>
  <si>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</si>
  <si>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</si>
  <si>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</si>
  <si>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</si>
  <si>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</si>
  <si>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</si>
  <si>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</si>
  <si>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</si>
  <si>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</si>
  <si>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</si>
  <si>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</si>
  <si>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</si>
  <si>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</si>
  <si>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</si>
  <si>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</si>
  <si>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</si>
  <si>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</si>
  <si>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</si>
  <si>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</si>
  <si>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</si>
  <si>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</si>
  <si>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</si>
  <si>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</si>
  <si>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</si>
  <si>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</si>
  <si>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</si>
  <si>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</si>
  <si>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</si>
  <si>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</si>
  <si>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</si>
  <si>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</si>
  <si>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</si>
  <si>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</si>
  <si>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</si>
  <si>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</si>
  <si>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</si>
  <si>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</si>
  <si>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</si>
  <si>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</si>
  <si>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</si>
  <si>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</si>
  <si>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</si>
  <si>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</si>
  <si>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</si>
  <si>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</si>
  <si>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</si>
  <si>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</si>
  <si>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</si>
  <si>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</si>
  <si>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</si>
  <si>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</si>
  <si>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</si>
  <si>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</si>
  <si>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</si>
  <si>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</si>
  <si>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</si>
  <si>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</si>
  <si>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</si>
  <si>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</si>
  <si>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</si>
  <si>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</si>
  <si>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</si>
  <si>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</si>
  <si>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</si>
  <si>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</si>
  <si>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</si>
  <si>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</si>
  <si>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</si>
  <si>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</si>
  <si>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</si>
  <si>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</si>
  <si>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</si>
  <si>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</si>
  <si>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</si>
  <si>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</si>
  <si>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</si>
  <si>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</si>
  <si>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</si>
  <si>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</si>
  <si>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</si>
  <si>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</si>
  <si>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</si>
  <si>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</si>
  <si>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</si>
  <si>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</si>
  <si>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</si>
  <si>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</si>
  <si>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</si>
  <si>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</si>
  <si>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</si>
  <si>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</si>
  <si>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</si>
  <si>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</si>
  <si>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</si>
  <si>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</si>
  <si>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</si>
  <si>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</si>
  <si>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</si>
  <si>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</si>
  <si>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</si>
  <si>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</si>
  <si>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</si>
  <si>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</si>
  <si>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</si>
  <si>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</si>
  <si>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</si>
  <si>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</si>
  <si>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</si>
  <si>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</si>
  <si>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</si>
  <si>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</si>
  <si>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</si>
  <si>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</si>
  <si>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</si>
  <si>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</si>
  <si>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</si>
  <si>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</si>
  <si>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</si>
  <si>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</si>
  <si>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</si>
  <si>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</si>
  <si>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</si>
  <si>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</si>
  <si>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</si>
  <si>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</si>
  <si>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</si>
  <si>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</si>
  <si>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</si>
  <si>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</si>
  <si>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</si>
  <si>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</si>
  <si>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</si>
  <si>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</si>
  <si>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</si>
  <si>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</si>
  <si>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</si>
  <si>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</si>
  <si>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</si>
  <si>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</si>
  <si>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</si>
  <si>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</si>
  <si>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</si>
  <si>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</si>
  <si>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</si>
  <si>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</si>
  <si>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</si>
  <si>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</si>
  <si>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</si>
  <si>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</si>
  <si>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</si>
  <si>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</si>
  <si>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</si>
  <si>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</si>
  <si>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</si>
  <si>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</si>
  <si>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</si>
  <si>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</si>
  <si>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</si>
  <si>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</si>
  <si>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</si>
  <si>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</si>
  <si>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</si>
  <si>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</si>
  <si>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</si>
  <si>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</si>
  <si>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</si>
  <si>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</si>
  <si>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</si>
  <si>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</si>
  <si>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</si>
  <si>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</si>
  <si>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</si>
  <si>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</si>
  <si>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</si>
  <si>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</si>
  <si>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</si>
  <si>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</si>
  <si>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</si>
  <si>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</si>
  <si>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</si>
  <si>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</si>
  <si>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</si>
  <si>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</si>
  <si>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</si>
  <si>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</si>
  <si>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</si>
  <si>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</si>
  <si>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</si>
  <si>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</si>
  <si>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</si>
  <si>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</si>
  <si>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</si>
  <si>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</si>
  <si>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</si>
  <si>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</si>
  <si>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</si>
  <si>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</si>
  <si>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</si>
  <si>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</si>
  <si>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</si>
  <si>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</si>
  <si>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</si>
  <si>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</si>
  <si>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</si>
  <si>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</si>
  <si>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</si>
  <si>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</si>
  <si>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</si>
  <si>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</si>
  <si>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</si>
  <si>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</si>
  <si>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</si>
  <si>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</si>
  <si>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</si>
  <si>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</si>
  <si>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</si>
  <si>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</si>
  <si>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</si>
  <si>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</si>
  <si>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</si>
  <si>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</si>
  <si>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</si>
  <si>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</si>
  <si>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</si>
  <si>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</si>
  <si>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</si>
  <si>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</si>
  <si>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</si>
  <si>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</si>
  <si>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</si>
  <si>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</si>
  <si>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</si>
  <si>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</si>
  <si>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</si>
  <si>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</si>
  <si>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</si>
  <si>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</si>
  <si>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</si>
  <si>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</si>
  <si>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</si>
  <si>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</si>
  <si>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</si>
  <si>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</si>
  <si>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</si>
  <si>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</si>
  <si>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</si>
  <si>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</si>
  <si>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</si>
  <si>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</si>
  <si>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</si>
  <si>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</si>
  <si>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</si>
  <si>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</si>
  <si>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</si>
  <si>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</si>
  <si>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</si>
  <si>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</si>
  <si>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</si>
  <si>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</si>
  <si>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</si>
  <si>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</si>
  <si>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</si>
  <si>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</si>
  <si>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</si>
  <si>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</si>
  <si>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</si>
  <si>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</si>
  <si>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</si>
  <si>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</si>
  <si>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</si>
  <si>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</si>
  <si>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</si>
  <si>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</si>
  <si>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</si>
  <si>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</si>
  <si>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</si>
  <si>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</si>
  <si>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</si>
  <si>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</si>
  <si>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</si>
  <si>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</si>
  <si>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</si>
  <si>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</si>
  <si>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</si>
  <si>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</si>
  <si>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</si>
  <si>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</si>
  <si>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</si>
  <si>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</si>
  <si>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</si>
  <si>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</si>
  <si>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</si>
  <si>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</si>
  <si>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</si>
  <si>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</si>
  <si>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</si>
  <si>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</si>
  <si>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</si>
  <si>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</si>
  <si>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</si>
  <si>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</si>
  <si>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</si>
  <si>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</si>
  <si>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</si>
  <si>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</si>
  <si>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</si>
  <si>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</si>
  <si>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</si>
  <si>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</si>
  <si>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</si>
  <si>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</si>
  <si>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</si>
  <si>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</si>
  <si>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</si>
  <si>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</si>
  <si>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</si>
  <si>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</si>
  <si>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</si>
  <si>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</si>
  <si>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</si>
  <si>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</si>
  <si>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</si>
  <si>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</si>
  <si>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</si>
  <si>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</si>
  <si>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</si>
  <si>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</si>
  <si>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</si>
  <si>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</si>
  <si>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</si>
  <si>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</si>
  <si>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</si>
  <si>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</si>
  <si>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</si>
  <si>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</si>
  <si>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</si>
  <si>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</si>
  <si>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</si>
  <si>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</si>
  <si>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</si>
  <si>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</si>
  <si>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</si>
  <si>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</si>
  <si>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</si>
  <si>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</si>
  <si>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</si>
  <si>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</si>
  <si>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</si>
  <si>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</si>
  <si>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</si>
  <si>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</si>
  <si>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</si>
  <si>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</si>
  <si>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</si>
  <si>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</si>
  <si>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</si>
  <si>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</si>
  <si>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</si>
  <si>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</si>
  <si>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</si>
  <si>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</si>
  <si>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</si>
  <si>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</si>
  <si>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</si>
  <si>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</si>
  <si>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</si>
  <si>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</si>
  <si>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</si>
  <si>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</si>
  <si>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</si>
  <si>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</si>
  <si>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</si>
  <si>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</si>
  <si>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</si>
  <si>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</si>
  <si>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</si>
  <si>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</si>
  <si>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</si>
  <si>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</si>
  <si>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</si>
  <si>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</si>
  <si>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</si>
  <si>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</si>
  <si>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</si>
  <si>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</si>
  <si>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</si>
  <si>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</si>
  <si>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</si>
  <si>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</si>
  <si>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</si>
  <si>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</si>
  <si>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</si>
  <si>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</si>
  <si>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</si>
  <si>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</si>
  <si>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</si>
  <si>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</si>
  <si>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</si>
  <si>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</si>
  <si>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</si>
  <si>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</si>
  <si>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</si>
  <si>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</si>
  <si>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</si>
  <si>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</si>
  <si>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</si>
  <si>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</si>
  <si>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</si>
  <si>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</si>
  <si>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</si>
  <si>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</si>
  <si>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</si>
  <si>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</si>
  <si>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</si>
  <si>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</si>
  <si>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</si>
  <si>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</si>
  <si>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</si>
  <si>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</si>
  <si>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</si>
  <si>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</si>
  <si>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</si>
  <si>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</si>
  <si>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</si>
  <si>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</si>
  <si>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</si>
  <si>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</si>
  <si>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</si>
  <si>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</si>
  <si>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</si>
  <si>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</si>
  <si>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</si>
  <si>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</si>
  <si>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</si>
  <si>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</si>
  <si>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</si>
  <si>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</si>
  <si>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</si>
  <si>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</si>
  <si>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</si>
  <si>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</si>
  <si>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</si>
  <si>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</si>
  <si>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</si>
  <si>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</si>
  <si>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</si>
  <si>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</si>
  <si>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</si>
  <si>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</si>
  <si>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</si>
  <si>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</si>
  <si>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</si>
  <si>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</si>
  <si>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</si>
  <si>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</si>
  <si>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</si>
  <si>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</si>
  <si>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</si>
  <si>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</si>
  <si>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</si>
  <si>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</si>
  <si>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</si>
  <si>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</si>
  <si>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</si>
  <si>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</si>
  <si>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</si>
  <si>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</si>
  <si>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</si>
  <si>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</si>
  <si>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</si>
  <si>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</si>
  <si>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</si>
  <si>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</si>
  <si>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</si>
  <si>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</si>
  <si>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</si>
  <si>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</si>
  <si>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</si>
  <si>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</si>
  <si>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</si>
  <si>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</si>
  <si>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</si>
  <si>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</si>
  <si>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</si>
  <si>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</si>
  <si>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</si>
  <si>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</si>
  <si>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</si>
  <si>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</si>
  <si>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</si>
  <si>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</si>
  <si>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</si>
  <si>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</si>
  <si>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</si>
  <si>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</si>
  <si>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</si>
  <si>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</si>
  <si>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</si>
  <si>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</si>
  <si>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</si>
  <si>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</si>
  <si>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</si>
  <si>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</si>
  <si>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</si>
  <si>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</si>
  <si>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</si>
  <si>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</si>
  <si>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</si>
  <si>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</si>
  <si>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</si>
  <si>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</si>
  <si>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</si>
  <si>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</si>
  <si>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</si>
  <si>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</si>
  <si>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</si>
  <si>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</si>
  <si>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</si>
  <si>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</si>
  <si>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</si>
  <si>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</si>
  <si>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</si>
  <si>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</si>
  <si>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</si>
  <si>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</si>
  <si>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</si>
  <si>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</si>
  <si>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</si>
  <si>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</si>
  <si>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</si>
  <si>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</si>
  <si>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</si>
  <si>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</si>
  <si>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</si>
  <si>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</si>
  <si>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</si>
  <si>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</si>
  <si>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</si>
  <si>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</si>
  <si>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</si>
  <si>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</si>
  <si>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</si>
  <si>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</si>
  <si>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</si>
  <si>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</si>
  <si>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</si>
  <si>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</si>
  <si>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</si>
  <si>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</si>
  <si>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</si>
  <si>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</si>
  <si>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</si>
  <si>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</si>
  <si>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</si>
  <si>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</si>
  <si>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</si>
  <si>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</si>
  <si>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</si>
  <si>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</si>
  <si>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</si>
  <si>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</si>
  <si>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</si>
  <si>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</si>
  <si>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</si>
  <si>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</si>
  <si>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</si>
  <si>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</si>
  <si>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</si>
  <si>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</si>
  <si>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</si>
  <si>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</si>
  <si>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</si>
  <si>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</si>
  <si>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</si>
  <si>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</si>
  <si>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</si>
  <si>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</si>
  <si>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</si>
  <si>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</si>
  <si>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</si>
  <si>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</si>
  <si>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</si>
  <si>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</si>
  <si>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</si>
  <si>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</si>
  <si>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</si>
  <si>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</si>
  <si>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</si>
  <si>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</si>
  <si>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</si>
  <si>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</si>
  <si>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</si>
  <si>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</si>
  <si>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</si>
  <si>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</si>
  <si>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</si>
  <si>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</si>
  <si>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</si>
  <si>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</si>
  <si>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</si>
  <si>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</si>
  <si>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</si>
  <si>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</si>
  <si>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</si>
  <si>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</si>
  <si>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</si>
  <si>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</si>
  <si>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</si>
  <si>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</si>
  <si>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</si>
  <si>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</si>
  <si>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</si>
  <si>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</si>
  <si>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</si>
  <si>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</si>
  <si>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</si>
  <si>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</si>
  <si>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</si>
  <si>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</si>
  <si>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</si>
  <si>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</si>
  <si>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</si>
  <si>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</si>
  <si>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</si>
  <si>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</si>
  <si>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</si>
  <si>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</si>
  <si>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</si>
  <si>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</si>
  <si>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</si>
  <si>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</si>
  <si>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</si>
  <si>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</si>
  <si>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</si>
  <si>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</si>
  <si>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</si>
  <si>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</si>
  <si>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</si>
  <si>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</si>
  <si>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</si>
  <si>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</si>
  <si>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</si>
  <si>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</si>
  <si>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</si>
  <si>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</si>
  <si>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</si>
  <si>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</si>
  <si>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</si>
  <si>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</si>
  <si>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</si>
  <si>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</si>
  <si>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</si>
  <si>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</si>
  <si>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</si>
  <si>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</si>
  <si>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</si>
  <si>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</si>
  <si>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</si>
  <si>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</si>
  <si>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</si>
  <si>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</si>
  <si>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</si>
  <si>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</si>
  <si>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</si>
  <si>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</si>
  <si>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</si>
  <si>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</si>
  <si>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</si>
  <si>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</si>
  <si>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</si>
  <si>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</si>
  <si>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</si>
  <si>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</si>
  <si>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</si>
  <si>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</si>
  <si>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</si>
  <si>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</si>
  <si>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</si>
  <si>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</si>
  <si>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</si>
  <si>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</si>
  <si>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</si>
  <si>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</si>
  <si>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</si>
  <si>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</si>
  <si>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</si>
  <si>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</si>
  <si>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</si>
  <si>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</si>
  <si>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</si>
  <si>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</si>
  <si>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</si>
  <si>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</si>
  <si>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</si>
  <si>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</si>
  <si>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</si>
  <si>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</si>
  <si>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</si>
  <si>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</si>
  <si>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</si>
  <si>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</si>
  <si>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</si>
  <si>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</si>
  <si>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</si>
  <si>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</si>
  <si>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</si>
  <si>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</si>
  <si>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</si>
  <si>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</si>
  <si>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</si>
  <si>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</si>
  <si>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</si>
  <si>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</si>
  <si>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</si>
  <si>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</si>
  <si>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</si>
  <si>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</si>
  <si>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</si>
  <si>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</si>
  <si>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</si>
  <si>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</si>
  <si>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</si>
  <si>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</si>
  <si>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</si>
  <si>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</si>
  <si>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</si>
  <si>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</si>
  <si>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</si>
  <si>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</si>
  <si>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</si>
  <si>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</si>
  <si>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</si>
  <si>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</si>
  <si>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</si>
  <si>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</si>
  <si>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</si>
  <si>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</si>
  <si>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</si>
  <si>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</si>
  <si>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</si>
  <si>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</si>
  <si>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</si>
  <si>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</si>
  <si>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</si>
  <si>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</si>
  <si>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</si>
  <si>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</si>
  <si>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</si>
  <si>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</si>
  <si>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</si>
  <si>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</si>
  <si>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</si>
  <si>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</si>
  <si>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</si>
  <si>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</si>
  <si>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</si>
  <si>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</si>
  <si>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</si>
  <si>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</si>
  <si>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</si>
  <si>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</si>
  <si>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</si>
  <si>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</si>
  <si>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</si>
  <si>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</si>
  <si>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</si>
  <si>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</si>
  <si>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</si>
  <si>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</si>
  <si>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</si>
  <si>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</si>
  <si>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</si>
  <si>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</si>
  <si>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</si>
  <si>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</si>
  <si>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</si>
  <si>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</si>
  <si>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</si>
  <si>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</si>
  <si>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</si>
  <si>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</si>
  <si>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</si>
  <si>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</si>
  <si>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</si>
  <si>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</si>
  <si>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</si>
  <si>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</si>
  <si>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</si>
  <si>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</si>
  <si>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</si>
  <si>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</si>
  <si>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</si>
  <si>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</si>
  <si>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</si>
  <si>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</si>
  <si>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</si>
  <si>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</si>
  <si>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</si>
  <si>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</si>
  <si>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</si>
  <si>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</si>
  <si>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</si>
  <si>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</si>
  <si>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</si>
  <si>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</si>
  <si>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</si>
  <si>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</si>
  <si>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</si>
  <si>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</si>
  <si>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</si>
  <si>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</si>
  <si>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</si>
  <si>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</si>
  <si>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</si>
  <si>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</si>
  <si>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</si>
  <si>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</si>
  <si>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</si>
  <si>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</si>
  <si>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</si>
  <si>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</si>
  <si>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</si>
  <si>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</si>
  <si>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</si>
  <si>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</si>
  <si>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</si>
  <si>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</si>
  <si>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</si>
  <si>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</si>
  <si>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</si>
  <si>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</si>
  <si>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</si>
  <si>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</si>
  <si>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</si>
  <si>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</si>
  <si>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</si>
  <si>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</si>
  <si>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</si>
  <si>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</si>
  <si>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</si>
  <si>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</si>
  <si>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</si>
  <si>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</si>
  <si>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</si>
  <si>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</si>
  <si>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</si>
  <si>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</si>
  <si>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</si>
  <si>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</si>
  <si>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</si>
  <si>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</si>
  <si>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</si>
  <si>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</si>
  <si>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</si>
  <si>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</si>
  <si>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</si>
  <si>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</si>
  <si>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</si>
  <si>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</si>
  <si>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</si>
  <si>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</si>
  <si>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</si>
  <si>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</si>
  <si>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</si>
  <si>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</si>
  <si>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</si>
  <si>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</si>
  <si>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</si>
  <si>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</si>
  <si>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</si>
  <si>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</si>
  <si>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</si>
  <si>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</si>
  <si>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</si>
  <si>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</si>
  <si>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</si>
  <si>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</si>
  <si>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</si>
  <si>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</si>
  <si>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</si>
  <si>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</si>
  <si>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</si>
  <si>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</si>
  <si>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</si>
  <si>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</si>
  <si>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</si>
  <si>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</si>
  <si>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</si>
  <si>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</si>
  <si>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</si>
  <si>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</si>
  <si>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</si>
  <si>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</si>
  <si>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</si>
  <si>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</si>
  <si>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</si>
  <si>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</si>
  <si>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</si>
  <si>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</si>
  <si>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</si>
  <si>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</si>
  <si>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</si>
  <si>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</si>
  <si>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</si>
  <si>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</si>
  <si>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</si>
  <si>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</si>
  <si>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</si>
  <si>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</si>
  <si>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</si>
  <si>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</si>
  <si>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</si>
  <si>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</si>
  <si>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</si>
  <si>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</si>
  <si>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</si>
  <si>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</si>
  <si>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</si>
  <si>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</si>
  <si>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</si>
  <si>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</si>
  <si>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</si>
  <si>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</si>
  <si>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</si>
  <si>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</si>
  <si>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</si>
  <si>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</si>
  <si>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</si>
  <si>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</si>
  <si>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</si>
  <si>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</si>
  <si>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</si>
  <si>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</si>
  <si>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</si>
  <si>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</si>
  <si>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</si>
  <si>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</si>
  <si>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</si>
  <si>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</si>
  <si>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</si>
  <si>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</si>
  <si>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</si>
  <si>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</si>
  <si>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</si>
  <si>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</si>
  <si>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</si>
  <si>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</si>
  <si>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</si>
  <si>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</si>
  <si>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</si>
  <si>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</si>
  <si>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</si>
  <si>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</si>
  <si>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</si>
  <si>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</si>
  <si>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</si>
  <si>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</si>
  <si>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</si>
  <si>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</si>
  <si>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</si>
  <si>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</si>
  <si>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</si>
  <si>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</si>
  <si>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</si>
  <si>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</si>
  <si>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</si>
  <si>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</si>
  <si>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</si>
  <si>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</si>
  <si>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</si>
  <si>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</si>
  <si>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</si>
  <si>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</si>
  <si>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</si>
  <si>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</si>
  <si>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</si>
  <si>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</si>
  <si>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</si>
  <si>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</si>
  <si>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</si>
  <si>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</si>
  <si>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</si>
  <si>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</si>
  <si>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</si>
  <si>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</si>
  <si>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</si>
  <si>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</si>
  <si>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</si>
  <si>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</si>
  <si>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</si>
  <si>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</si>
  <si>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</si>
  <si>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</si>
  <si>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</si>
  <si>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</si>
  <si>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</si>
  <si>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</si>
  <si>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</si>
  <si>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</si>
  <si>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</si>
  <si>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</si>
  <si>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</si>
  <si>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</si>
  <si>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</si>
  <si>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</si>
  <si>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</si>
  <si>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</si>
  <si>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</si>
  <si>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</si>
  <si>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</si>
  <si>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</si>
  <si>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</si>
  <si>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</si>
  <si>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</si>
  <si>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</si>
  <si>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</si>
  <si>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</si>
  <si>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</si>
  <si>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</si>
  <si>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</si>
  <si>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</si>
  <si>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</si>
  <si>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</si>
  <si>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</si>
  <si>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</si>
  <si>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</si>
  <si>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</si>
  <si>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</si>
  <si>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</si>
  <si>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</si>
  <si>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</si>
  <si>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</si>
  <si>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</si>
  <si>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</si>
  <si>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</si>
  <si>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</si>
  <si>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</si>
  <si>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</si>
  <si>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</si>
  <si>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</si>
  <si>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</si>
  <si>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</si>
  <si>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</si>
  <si>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</si>
  <si>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</si>
  <si>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</si>
  <si>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</si>
  <si>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</si>
  <si>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</si>
  <si>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</si>
  <si>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</si>
  <si>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</si>
  <si>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</si>
  <si>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</si>
  <si>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</si>
  <si>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</si>
  <si>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</si>
  <si>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</si>
  <si>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</si>
  <si>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</si>
  <si>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</si>
  <si>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</si>
  <si>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</si>
  <si>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</si>
  <si>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</si>
  <si>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</si>
  <si>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</si>
  <si>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</si>
  <si>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</si>
  <si>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</si>
  <si>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</si>
  <si>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</si>
  <si>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</si>
  <si>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</si>
  <si>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</si>
  <si>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</si>
  <si>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</si>
  <si>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</si>
  <si>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</si>
  <si>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</si>
  <si>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</si>
  <si>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</si>
  <si>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</si>
  <si>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</si>
  <si>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</si>
  <si>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</si>
  <si>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</si>
  <si>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</si>
  <si>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</si>
  <si>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</si>
  <si>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</si>
  <si>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</si>
  <si>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</si>
  <si>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</si>
  <si>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</si>
  <si>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</si>
  <si>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</si>
  <si>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</si>
  <si>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</si>
  <si>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</si>
  <si>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</si>
  <si>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</si>
  <si>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</si>
  <si>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</si>
  <si>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</si>
  <si>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</si>
  <si>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</si>
  <si>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</si>
  <si>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</si>
  <si>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</si>
  <si>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</si>
  <si>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</si>
  <si>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</si>
  <si>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</si>
  <si>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</si>
  <si>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</si>
  <si>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</si>
  <si>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</si>
  <si>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</si>
  <si>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</si>
  <si>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</si>
  <si>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</si>
  <si>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</si>
  <si>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</si>
  <si>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</si>
  <si>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</si>
  <si>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</si>
  <si>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</si>
  <si>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</si>
  <si>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</si>
  <si>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</si>
  <si>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</si>
  <si>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</si>
  <si>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</si>
  <si>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</si>
  <si>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</si>
  <si>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</si>
  <si>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</si>
  <si>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</si>
  <si>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</si>
  <si>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</si>
  <si>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</si>
  <si>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</si>
  <si>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</si>
  <si>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</si>
  <si>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</si>
  <si>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</si>
  <si>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</si>
  <si>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</si>
  <si>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</si>
  <si>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</si>
  <si>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</si>
  <si>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</si>
  <si>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</si>
  <si>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</si>
  <si>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</si>
  <si>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</si>
  <si>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</si>
  <si>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</si>
  <si>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</si>
  <si>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</si>
  <si>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</si>
  <si>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</si>
  <si>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</si>
  <si>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</si>
  <si>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</si>
  <si>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</si>
  <si>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</si>
  <si>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</si>
  <si>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</si>
  <si>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</si>
  <si>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</si>
  <si>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</si>
  <si>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</si>
  <si>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</si>
  <si>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</si>
  <si>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</si>
  <si>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</si>
  <si>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</si>
  <si>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</si>
  <si>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</si>
  <si>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</si>
  <si>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</si>
  <si>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</si>
  <si>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</si>
  <si>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</si>
  <si>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</si>
  <si>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</si>
  <si>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</si>
  <si>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</si>
  <si>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</si>
  <si>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</si>
  <si>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</si>
  <si>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</si>
  <si>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</si>
  <si>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</si>
  <si>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</si>
  <si>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</si>
  <si>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</si>
  <si>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</si>
  <si>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</si>
  <si>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</si>
  <si>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</si>
  <si>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</si>
  <si>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</si>
  <si>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</si>
  <si>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</si>
  <si>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</si>
  <si>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</si>
  <si>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</si>
  <si>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</si>
  <si>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</si>
  <si>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</si>
  <si>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</si>
  <si>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</si>
  <si>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</si>
  <si>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</si>
  <si>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</si>
  <si>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</si>
  <si>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</si>
  <si>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</si>
  <si>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</si>
  <si>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</si>
  <si>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</si>
  <si>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</si>
  <si>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</si>
  <si>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</si>
  <si>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</si>
  <si>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</si>
  <si>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</si>
  <si>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</si>
  <si>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</si>
  <si>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</si>
  <si>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</si>
  <si>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</si>
  <si>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</si>
  <si>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</si>
  <si>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</si>
  <si>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</si>
  <si>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</si>
  <si>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</si>
  <si>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</si>
  <si>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</si>
  <si>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</si>
  <si>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</si>
  <si>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</si>
  <si>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</si>
  <si>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</si>
  <si>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</si>
  <si>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</si>
  <si>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</si>
  <si>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</si>
  <si>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</si>
  <si>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</si>
  <si>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</si>
  <si>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</si>
  <si>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</si>
  <si>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</si>
  <si>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</si>
  <si>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</si>
  <si>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</si>
  <si>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</si>
  <si>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</si>
  <si>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</si>
  <si>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</si>
  <si>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</si>
  <si>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</si>
  <si>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</si>
  <si>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</si>
  <si>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</si>
  <si>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</si>
  <si>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</si>
  <si>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</si>
  <si>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</si>
  <si>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</si>
  <si>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</si>
  <si>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</si>
  <si>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</si>
  <si>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</si>
  <si>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</si>
  <si>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</si>
  <si>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</si>
  <si>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</si>
  <si>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</si>
  <si>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</si>
  <si>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</si>
  <si>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</si>
  <si>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</si>
  <si>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</si>
  <si>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</si>
  <si>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</si>
  <si>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</si>
  <si>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</si>
  <si>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</si>
  <si>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</si>
  <si>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</si>
  <si>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</si>
  <si>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</si>
  <si>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</si>
  <si>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</si>
  <si>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</si>
  <si>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</si>
  <si>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</si>
  <si>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</si>
  <si>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</si>
  <si>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</si>
  <si>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</si>
  <si>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</si>
  <si>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</si>
  <si>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</si>
  <si>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</si>
  <si>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</si>
  <si>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</si>
  <si>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</si>
  <si>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</si>
  <si>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</si>
  <si>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</si>
  <si>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</si>
  <si>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</si>
  <si>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</si>
  <si>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</si>
  <si>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</si>
  <si>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</si>
  <si>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</si>
  <si>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</si>
  <si>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</si>
  <si>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</si>
  <si>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</si>
  <si>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</si>
  <si>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</si>
  <si>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</si>
  <si>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</si>
  <si>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</si>
  <si>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</si>
  <si>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</si>
  <si>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</si>
  <si>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</si>
  <si>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</si>
  <si>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</si>
  <si>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</si>
  <si>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</si>
  <si>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</si>
  <si>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</si>
  <si>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</si>
  <si>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</si>
  <si>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</si>
  <si>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</si>
  <si>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</si>
  <si>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</si>
  <si>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</si>
  <si>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</si>
  <si>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</si>
  <si>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</si>
  <si>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</si>
  <si>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</si>
  <si>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</si>
  <si>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</si>
  <si>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</si>
  <si>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</si>
  <si>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</si>
  <si>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</si>
  <si>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</si>
  <si>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</si>
  <si>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</si>
  <si>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</si>
  <si>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</si>
  <si>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</si>
  <si>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</si>
  <si>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</si>
  <si>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</si>
  <si>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</si>
  <si>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</si>
  <si>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</si>
  <si>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</si>
  <si>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</si>
  <si>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</si>
  <si>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</si>
  <si>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</si>
  <si>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</si>
  <si>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</si>
  <si>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</si>
  <si>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</si>
  <si>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</si>
  <si>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</si>
  <si>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</si>
  <si>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</si>
  <si>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</si>
  <si>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</si>
  <si>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</si>
  <si>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</si>
  <si>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</si>
  <si>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</si>
  <si>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</si>
  <si>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</si>
  <si>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</si>
  <si>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</si>
  <si>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</si>
  <si>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</si>
  <si>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</si>
  <si>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</si>
  <si>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</si>
  <si>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</si>
  <si>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</si>
  <si>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</si>
  <si>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</si>
  <si>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</si>
  <si>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</si>
  <si>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</si>
  <si>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</si>
  <si>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</si>
  <si>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</si>
  <si>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</si>
  <si>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</si>
  <si>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</si>
  <si>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</si>
  <si>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</si>
  <si>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</si>
  <si>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</si>
  <si>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</si>
  <si>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</si>
  <si>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</si>
  <si>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</si>
  <si>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</si>
  <si>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</si>
  <si>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</si>
  <si>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</si>
  <si>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</si>
  <si>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</si>
  <si>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</si>
  <si>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</si>
  <si>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</si>
  <si>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</si>
  <si>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</si>
  <si>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</si>
  <si>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</si>
  <si>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</si>
  <si>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</si>
  <si>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</si>
  <si>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</si>
  <si>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</si>
  <si>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</si>
  <si>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</si>
  <si>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</si>
  <si>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</si>
  <si>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</si>
  <si>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</si>
  <si>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</si>
  <si>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</si>
  <si>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</si>
  <si>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</si>
  <si>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</si>
  <si>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</si>
  <si>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</si>
  <si>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</si>
  <si>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</si>
  <si>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</si>
  <si>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</si>
  <si>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</si>
  <si>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</si>
  <si>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</si>
  <si>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</si>
  <si>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</si>
  <si>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</si>
  <si>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</si>
  <si>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</si>
  <si>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</si>
  <si>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</si>
  <si>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</si>
  <si>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</si>
  <si>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</si>
  <si>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</si>
  <si>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</si>
  <si>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</si>
  <si>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</si>
  <si>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</si>
  <si>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</si>
  <si>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</si>
  <si>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</si>
  <si>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</si>
  <si>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</si>
  <si>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</si>
  <si>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</si>
  <si>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</si>
  <si>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</si>
  <si>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</si>
  <si>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</si>
  <si>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</si>
  <si>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</si>
  <si>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</si>
  <si>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</si>
  <si>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</si>
  <si>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</si>
  <si>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</si>
  <si>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</si>
  <si>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</si>
  <si>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</si>
  <si>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</si>
  <si>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</si>
  <si>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</si>
  <si>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</si>
  <si>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</si>
  <si>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</si>
  <si>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</si>
  <si>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</si>
  <si>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</si>
  <si>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</si>
  <si>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</si>
  <si>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</si>
  <si>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</si>
  <si>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</si>
  <si>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</si>
  <si>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</si>
  <si>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</si>
  <si>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</si>
  <si>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</si>
  <si>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</si>
  <si>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</si>
  <si>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</si>
  <si>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</si>
  <si>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</si>
  <si>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</si>
  <si>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</si>
  <si>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</si>
  <si>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</si>
  <si>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</si>
  <si>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</si>
  <si>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</si>
  <si>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</si>
  <si>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</si>
  <si>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</si>
  <si>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</si>
  <si>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</si>
  <si>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</si>
  <si>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</si>
  <si>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</si>
  <si>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</si>
  <si>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</si>
  <si>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</si>
  <si>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</si>
  <si>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</si>
  <si>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</si>
  <si>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</si>
  <si>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</si>
  <si>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</si>
  <si>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</si>
  <si>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</si>
  <si>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</si>
  <si>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</si>
  <si>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</si>
  <si>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</si>
  <si>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</si>
  <si>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</si>
  <si>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</si>
  <si>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</si>
  <si>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</si>
  <si>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</si>
  <si>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</si>
  <si>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</si>
  <si>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</si>
  <si>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</si>
  <si>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</si>
  <si>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</si>
  <si>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</si>
  <si>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</si>
  <si>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</si>
  <si>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</si>
  <si>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</si>
  <si>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</si>
  <si>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</si>
  <si>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</si>
  <si>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</si>
  <si>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</si>
  <si>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</si>
  <si>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</si>
  <si>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</si>
  <si>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</si>
  <si>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</si>
  <si>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</si>
  <si>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</si>
  <si>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</si>
  <si>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</si>
  <si>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</si>
  <si>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</si>
  <si>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</si>
  <si>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</si>
  <si>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</si>
  <si>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</si>
  <si>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</si>
  <si>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</si>
  <si>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</si>
  <si>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</si>
  <si>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</si>
  <si>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</si>
  <si>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</si>
  <si>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</si>
  <si>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</si>
  <si>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</si>
  <si>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</si>
  <si>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</si>
  <si>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</si>
  <si>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</si>
  <si>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</si>
  <si>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</si>
  <si>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</si>
  <si>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</si>
  <si>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</si>
  <si>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</si>
  <si>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</si>
  <si>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</si>
  <si>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</si>
  <si>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</si>
  <si>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</si>
  <si>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</si>
  <si>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</si>
  <si>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</si>
  <si>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</si>
  <si>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</si>
  <si>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</si>
  <si>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</si>
  <si>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</si>
  <si>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</si>
  <si>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</si>
  <si>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</si>
  <si>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</si>
  <si>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</si>
  <si>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</si>
  <si>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</si>
  <si>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</si>
  <si>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</si>
  <si>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</si>
  <si>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</si>
  <si>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</si>
  <si>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</si>
  <si>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</si>
  <si>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</si>
  <si>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</si>
  <si>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</si>
  <si>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</si>
  <si>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</si>
  <si>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</si>
  <si>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</si>
  <si>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</si>
  <si>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</si>
  <si>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</si>
  <si>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</si>
  <si>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</si>
  <si>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</si>
  <si>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</si>
  <si>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</si>
  <si>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</si>
  <si>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</si>
  <si>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</si>
  <si>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</si>
  <si>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</si>
  <si>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</si>
  <si>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</si>
  <si>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</si>
  <si>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</si>
  <si>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</si>
  <si>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</si>
  <si>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</si>
  <si>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</si>
  <si>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</si>
  <si>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</si>
  <si>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</si>
  <si>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</si>
  <si>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</si>
  <si>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</si>
  <si>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</si>
  <si>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</si>
  <si>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</si>
  <si>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</si>
  <si>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</si>
  <si>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</si>
  <si>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</si>
  <si>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</si>
  <si>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</si>
  <si>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</si>
  <si>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</si>
  <si>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</si>
  <si>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</si>
  <si>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</si>
  <si>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</si>
  <si>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</si>
  <si>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</si>
  <si>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</si>
  <si>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</si>
  <si>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</si>
  <si>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</si>
  <si>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</si>
  <si>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</si>
  <si>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</si>
  <si>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</si>
  <si>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</si>
  <si>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</si>
  <si>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</si>
  <si>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</si>
  <si>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</si>
  <si>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</si>
  <si>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</si>
  <si>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</si>
  <si>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</si>
  <si>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</si>
  <si>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</si>
  <si>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</si>
  <si>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</si>
  <si>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</si>
  <si>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</si>
  <si>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</si>
  <si>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</si>
  <si>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</si>
  <si>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</si>
  <si>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</si>
  <si>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</si>
  <si>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</si>
  <si>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</si>
  <si>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</si>
  <si>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</si>
  <si>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</si>
  <si>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</si>
  <si>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</si>
  <si>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</si>
  <si>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</si>
  <si>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</si>
  <si>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</si>
  <si>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</si>
  <si>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</si>
  <si>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</si>
  <si>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</si>
  <si>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</si>
  <si>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</si>
  <si>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</si>
  <si>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</si>
  <si>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</si>
  <si>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</si>
  <si>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</si>
  <si>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</si>
  <si>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</si>
  <si>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</si>
  <si>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</si>
  <si>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</si>
  <si>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</si>
  <si>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</si>
  <si>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</si>
  <si>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</si>
  <si>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</si>
  <si>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</si>
  <si>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</si>
  <si>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</si>
  <si>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</si>
  <si>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</si>
  <si>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</si>
  <si>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</si>
  <si>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</si>
  <si>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</si>
  <si>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</si>
  <si>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</si>
  <si>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</si>
  <si>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</si>
  <si>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</si>
  <si>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</si>
  <si>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</si>
  <si>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</si>
  <si>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</si>
  <si>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</si>
  <si>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</si>
  <si>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</si>
  <si>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</si>
  <si>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</si>
  <si>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</si>
  <si>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</si>
  <si>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</si>
  <si>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</si>
  <si>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</si>
  <si>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</si>
  <si>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</si>
  <si>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</si>
  <si>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</si>
  <si>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</si>
  <si>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</si>
  <si>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</si>
  <si>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</si>
  <si>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</si>
  <si>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</si>
  <si>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</si>
  <si>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</si>
  <si>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</si>
  <si>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</si>
  <si>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</si>
  <si>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</si>
  <si>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</si>
  <si>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</si>
  <si>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</si>
  <si>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</si>
  <si>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</si>
  <si>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</si>
  <si>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</si>
  <si>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</si>
  <si>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</si>
  <si>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</si>
  <si>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</si>
  <si>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</si>
  <si>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</si>
  <si>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</si>
  <si>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</si>
  <si>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</si>
  <si>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</si>
  <si>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</si>
  <si>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</si>
  <si>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</si>
  <si>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</si>
  <si>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</si>
  <si>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</si>
  <si>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</si>
  <si>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</si>
  <si>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</si>
  <si>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</si>
  <si>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</si>
  <si>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</si>
  <si>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</si>
  <si>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</si>
  <si>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</si>
  <si>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</si>
  <si>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</si>
  <si>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</si>
  <si>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</si>
  <si>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</si>
  <si>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</si>
  <si>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</si>
  <si>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</si>
  <si>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</si>
  <si>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</si>
  <si>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</si>
  <si>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</si>
  <si>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</si>
  <si>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</si>
  <si>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</si>
  <si>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</si>
  <si>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</si>
  <si>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</si>
  <si>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</si>
  <si>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</si>
  <si>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</si>
  <si>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</si>
  <si>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</si>
  <si>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</si>
  <si>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</si>
  <si>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</si>
  <si>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</si>
  <si>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</si>
  <si>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</si>
  <si>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</si>
  <si>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</si>
  <si>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</si>
  <si>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</si>
  <si>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</si>
  <si>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</si>
  <si>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</si>
  <si>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</si>
  <si>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</si>
  <si>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</si>
  <si>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</si>
  <si>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</si>
  <si>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</si>
  <si>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</si>
  <si>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</si>
  <si>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</si>
  <si>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</si>
  <si>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</si>
  <si>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</si>
  <si>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</si>
  <si>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</si>
  <si>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</si>
  <si>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</si>
  <si>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</si>
  <si>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</si>
  <si>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</si>
  <si>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</si>
  <si>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</si>
  <si>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</si>
  <si>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</si>
  <si>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</si>
  <si>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</si>
  <si>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</si>
  <si>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</si>
  <si>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</si>
  <si>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</si>
  <si>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</si>
  <si>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</si>
  <si>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</si>
  <si>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</si>
  <si>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</si>
  <si>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</si>
  <si>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</si>
  <si>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</si>
  <si>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</si>
  <si>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</si>
  <si>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</si>
  <si>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</si>
  <si>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</si>
  <si>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</si>
  <si>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</si>
  <si>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</si>
  <si>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</si>
  <si>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</si>
  <si>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</si>
  <si>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</si>
  <si>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</si>
  <si>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</si>
  <si>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</si>
  <si>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</si>
  <si>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</si>
  <si>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</si>
  <si>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</si>
  <si>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</si>
  <si>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</si>
  <si>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</si>
  <si>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</si>
  <si>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</si>
  <si>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</si>
  <si>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</si>
  <si>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</si>
  <si>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</si>
  <si>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</si>
  <si>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</si>
  <si>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</si>
  <si>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</si>
  <si>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</si>
  <si>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</si>
  <si>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</si>
  <si>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</si>
  <si>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</si>
  <si>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</si>
  <si>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</si>
  <si>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</si>
  <si>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</si>
  <si>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</si>
  <si>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</si>
  <si>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</si>
  <si>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</si>
  <si>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</si>
  <si>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</si>
  <si>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</si>
  <si>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</si>
  <si>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</si>
  <si>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</si>
  <si>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</si>
  <si>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</si>
  <si>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</si>
  <si>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</si>
  <si>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</si>
  <si>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</si>
  <si>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</si>
  <si>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</si>
  <si>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</si>
  <si>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</si>
  <si>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</si>
  <si>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</si>
  <si>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</si>
  <si>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</si>
  <si>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</si>
  <si>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</si>
  <si>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</si>
  <si>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</si>
  <si>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</si>
  <si>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</si>
  <si>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</si>
  <si>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</si>
  <si>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</si>
  <si>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</si>
  <si>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</si>
  <si>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</si>
  <si>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</si>
  <si>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</si>
  <si>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</si>
  <si>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</si>
  <si>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</si>
  <si>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</si>
  <si>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</si>
  <si>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</si>
  <si>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</si>
  <si>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</si>
  <si>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</si>
  <si>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</si>
  <si>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</si>
  <si>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</si>
  <si>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</si>
  <si>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</si>
  <si>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</si>
  <si>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</si>
  <si>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</si>
  <si>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</si>
  <si>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</si>
  <si>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</si>
  <si>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</si>
  <si>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</si>
  <si>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</si>
  <si>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</si>
  <si>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</si>
  <si>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</si>
  <si>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</si>
  <si>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</si>
  <si>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</si>
  <si>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</si>
  <si>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</si>
  <si>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</si>
  <si>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</si>
  <si>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</si>
  <si>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</si>
  <si>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</si>
  <si>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</si>
  <si>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</si>
  <si>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</si>
  <si>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</si>
  <si>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</si>
  <si>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</si>
  <si>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</si>
  <si>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</si>
  <si>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</si>
  <si>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</si>
  <si>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</si>
  <si>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</si>
  <si>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</si>
  <si>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</si>
  <si>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</si>
  <si>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</si>
  <si>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</si>
  <si>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</si>
  <si>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</si>
  <si>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</si>
  <si>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</si>
  <si>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</si>
  <si>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</si>
  <si>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</si>
  <si>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</si>
  <si>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</si>
  <si>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</si>
  <si>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</si>
  <si>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</si>
  <si>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</si>
  <si>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</si>
  <si>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</si>
  <si>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</si>
  <si>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</si>
  <si>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</si>
  <si>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</si>
  <si>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</si>
  <si>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</si>
  <si>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</si>
  <si>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</si>
  <si>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</si>
  <si>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</si>
  <si>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</si>
  <si>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</si>
  <si>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</si>
  <si>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</si>
  <si>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</si>
  <si>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</si>
  <si>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</si>
  <si>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</si>
  <si>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</si>
  <si>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</si>
  <si>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</si>
  <si>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</si>
  <si>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</si>
  <si>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</si>
  <si>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</si>
  <si>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</si>
  <si>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</si>
  <si>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</si>
  <si>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</si>
  <si>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</si>
  <si>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</si>
  <si>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</si>
  <si>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</si>
  <si>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</si>
  <si>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</si>
  <si>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</si>
  <si>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</si>
  <si>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</si>
  <si>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</si>
  <si>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</si>
  <si>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</si>
  <si>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</si>
  <si>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</si>
  <si>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</si>
  <si>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</si>
  <si>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</si>
  <si>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</si>
  <si>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</si>
  <si>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</si>
  <si>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</si>
  <si>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</si>
  <si>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</si>
  <si>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</si>
  <si>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</si>
  <si>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</si>
  <si>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</si>
  <si>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</si>
  <si>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</si>
  <si>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</si>
  <si>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</si>
  <si>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</si>
  <si>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</si>
  <si>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</si>
  <si>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</si>
  <si>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</si>
  <si>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</si>
  <si>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</si>
  <si>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</si>
  <si>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</si>
  <si>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</si>
  <si>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</si>
  <si>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</si>
  <si>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</si>
  <si>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</si>
  <si>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</si>
  <si>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</si>
  <si>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</si>
  <si>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</si>
  <si>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</si>
  <si>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</si>
  <si>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</si>
  <si>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</si>
  <si>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</si>
  <si>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</si>
  <si>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</si>
  <si>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</si>
  <si>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</si>
  <si>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</si>
  <si>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</si>
  <si>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</si>
  <si>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</si>
  <si>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</si>
  <si>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</si>
  <si>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</si>
  <si>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</si>
  <si>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</si>
  <si>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</si>
  <si>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</si>
  <si>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</si>
  <si>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</si>
  <si>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</si>
  <si>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</si>
  <si>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</si>
  <si>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</si>
  <si>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</si>
  <si>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</si>
  <si>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</si>
  <si>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</si>
  <si>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</si>
  <si>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</si>
  <si>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</si>
  <si>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</si>
  <si>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</si>
  <si>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</si>
  <si>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</si>
  <si>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</si>
  <si>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</si>
  <si>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</si>
  <si>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</si>
  <si>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</si>
  <si>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</si>
  <si>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</si>
  <si>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</si>
  <si>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</si>
  <si>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</si>
  <si>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</si>
  <si>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</si>
  <si>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</si>
  <si>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</si>
  <si>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</si>
  <si>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</si>
  <si>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</si>
  <si>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</si>
  <si>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</si>
  <si>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</si>
  <si>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</si>
  <si>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</si>
  <si>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</si>
  <si>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</si>
  <si>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</si>
  <si>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</si>
  <si>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</si>
  <si>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</si>
  <si>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</si>
  <si>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</si>
  <si>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</si>
  <si>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</si>
  <si>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</si>
  <si>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</si>
  <si>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</si>
  <si>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</si>
  <si>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</si>
  <si>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</si>
  <si>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</si>
  <si>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</si>
  <si>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</si>
  <si>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</si>
  <si>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</si>
  <si>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</si>
  <si>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</si>
  <si>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</si>
  <si>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</si>
  <si>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</si>
  <si>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</si>
  <si>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</si>
  <si>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</si>
  <si>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</si>
  <si>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</si>
  <si>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</si>
  <si>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</si>
  <si>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</si>
  <si>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</si>
  <si>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</si>
  <si>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</si>
  <si>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</si>
  <si>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</si>
  <si>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</si>
  <si>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</si>
  <si>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</si>
  <si>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</si>
  <si>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</si>
  <si>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</si>
  <si>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</si>
  <si>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</si>
  <si>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</si>
  <si>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</si>
  <si>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</si>
  <si>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</si>
  <si>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</si>
  <si>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</si>
  <si>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</si>
  <si>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</si>
  <si>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</si>
  <si>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</si>
  <si>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</si>
  <si>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</si>
  <si>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</si>
  <si>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</si>
  <si>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</si>
  <si>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</si>
  <si>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</si>
  <si>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</si>
  <si>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</si>
  <si>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</si>
  <si>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</si>
  <si>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</si>
  <si>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</si>
  <si>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</si>
  <si>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</si>
  <si>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</si>
  <si>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</si>
  <si>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</si>
  <si>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</si>
  <si>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</si>
  <si>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</si>
  <si>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</si>
  <si>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</si>
  <si>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</si>
  <si>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</si>
  <si>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</si>
  <si>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</si>
  <si>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</si>
  <si>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</si>
  <si>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</si>
  <si>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</si>
  <si>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</si>
  <si>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</si>
  <si>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</si>
  <si>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</si>
  <si>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</si>
  <si>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</si>
  <si>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</si>
  <si>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</si>
  <si>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</si>
  <si>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</si>
  <si>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</si>
  <si>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</si>
  <si>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</si>
  <si>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</si>
  <si>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</si>
  <si>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</si>
  <si>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</si>
  <si>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</si>
  <si>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</si>
  <si>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</si>
  <si>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</si>
  <si>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</si>
  <si>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</si>
  <si>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</si>
  <si>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</si>
  <si>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</si>
  <si>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</si>
  <si>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</si>
  <si>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</si>
  <si>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</si>
  <si>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</si>
  <si>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</si>
  <si>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</si>
  <si>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</si>
  <si>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</si>
  <si>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</si>
  <si>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</si>
  <si>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</si>
  <si>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</si>
  <si>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</si>
  <si>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</si>
  <si>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</si>
  <si>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</si>
  <si>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</si>
  <si>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</si>
  <si>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</si>
  <si>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</si>
  <si>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</si>
  <si>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</si>
  <si>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</si>
  <si>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</si>
  <si>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</si>
  <si>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</si>
  <si>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</si>
  <si>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</si>
  <si>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</si>
  <si>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</si>
  <si>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</si>
  <si>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</si>
  <si>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</si>
  <si>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</si>
  <si>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</si>
  <si>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</si>
  <si>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</si>
  <si>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</si>
  <si>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</si>
  <si>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</si>
  <si>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</si>
  <si>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</si>
  <si>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</si>
  <si>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</si>
  <si>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</si>
  <si>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</si>
  <si>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</si>
  <si>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</si>
  <si>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</si>
  <si>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</si>
  <si>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</si>
  <si>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</si>
  <si>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</si>
  <si>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</si>
  <si>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</si>
  <si>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</si>
  <si>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</si>
  <si>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</si>
  <si>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</si>
  <si>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</si>
  <si>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</si>
  <si>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</si>
  <si>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</si>
  <si>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</si>
  <si>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</si>
  <si>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</si>
  <si>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</si>
  <si>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</si>
  <si>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</si>
  <si>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</si>
  <si>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</si>
  <si>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</si>
  <si>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</si>
  <si>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</si>
  <si>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</si>
  <si>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</si>
  <si>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</si>
  <si>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</si>
  <si>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</si>
  <si>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</si>
  <si>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</si>
  <si>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</si>
  <si>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</si>
  <si>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</si>
  <si>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</si>
  <si>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</si>
  <si>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</si>
  <si>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</si>
  <si>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</si>
  <si>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</si>
  <si>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</si>
  <si>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</si>
  <si>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</si>
  <si>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</si>
  <si>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</si>
  <si>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</si>
  <si>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</si>
  <si>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</si>
  <si>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</si>
  <si>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</si>
  <si>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</si>
  <si>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</si>
  <si>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</si>
  <si>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</si>
  <si>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</si>
  <si>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</si>
  <si>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</si>
  <si>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</si>
  <si>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</si>
  <si>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</si>
  <si>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</si>
  <si>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</si>
  <si>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</si>
  <si>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</si>
  <si>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</si>
  <si>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</si>
  <si>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</si>
  <si>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</si>
  <si>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</si>
  <si>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</si>
  <si>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</si>
  <si>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</si>
  <si>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</si>
  <si>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</si>
  <si>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</si>
  <si>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</si>
  <si>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</si>
  <si>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</si>
  <si>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</si>
  <si>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</si>
  <si>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</si>
  <si>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</si>
  <si>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</si>
  <si>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</si>
  <si>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</si>
  <si>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</si>
  <si>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</si>
  <si>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</si>
  <si>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</si>
  <si>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</si>
  <si>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</si>
  <si>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</si>
  <si>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</si>
  <si>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</si>
  <si>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</si>
  <si>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</si>
  <si>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</si>
  <si>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</si>
  <si>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</si>
  <si>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</si>
  <si>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</si>
  <si>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</si>
  <si>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</si>
  <si>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</si>
  <si>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</si>
  <si>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</si>
  <si>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</si>
  <si>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</si>
  <si>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</si>
  <si>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</si>
  <si>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</si>
  <si>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</si>
  <si>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</si>
  <si>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</si>
  <si>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</si>
  <si>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</si>
  <si>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</si>
  <si>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</si>
  <si>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</si>
  <si>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</si>
  <si>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</si>
  <si>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</si>
  <si>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</si>
  <si>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</si>
  <si>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</si>
  <si>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</si>
  <si>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</si>
  <si>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</si>
  <si>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</si>
  <si>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</si>
  <si>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</si>
  <si>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</si>
  <si>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</si>
  <si>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</si>
  <si>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</si>
  <si>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</si>
  <si>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</si>
  <si>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</si>
  <si>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</si>
  <si>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</si>
  <si>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</si>
  <si>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</si>
  <si>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</si>
  <si>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</si>
  <si>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</si>
  <si>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</si>
  <si>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</si>
  <si>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</si>
  <si>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</si>
  <si>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</si>
  <si>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</si>
  <si>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</si>
  <si>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</si>
  <si>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</si>
  <si>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</si>
  <si>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</si>
  <si>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</si>
  <si>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</si>
  <si>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</si>
  <si>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</si>
  <si>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</si>
  <si>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</si>
  <si>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</si>
  <si>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</si>
  <si>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</si>
  <si>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</si>
  <si>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</si>
  <si>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</si>
  <si>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</si>
  <si>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</si>
  <si>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</si>
  <si>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</si>
  <si>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</si>
  <si>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</si>
  <si>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</si>
  <si>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</si>
  <si>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</si>
  <si>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</si>
  <si>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</si>
  <si>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</si>
  <si>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</si>
  <si>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</si>
  <si>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</si>
  <si>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</si>
  <si>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</si>
  <si>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</si>
  <si>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</si>
  <si>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</si>
  <si>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</si>
  <si>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</si>
  <si>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</si>
  <si>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</si>
  <si>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</si>
  <si>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</si>
  <si>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</si>
  <si>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</si>
  <si>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</si>
  <si>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</si>
  <si>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</si>
  <si>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</si>
  <si>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</si>
  <si>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</si>
  <si>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</si>
  <si>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</si>
  <si>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</si>
  <si>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</si>
  <si>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</si>
  <si>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</si>
  <si>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</si>
  <si>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</si>
  <si>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</si>
  <si>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</si>
  <si>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</si>
  <si>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</si>
  <si>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</si>
  <si>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</si>
  <si>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</si>
  <si>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</si>
  <si>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</si>
  <si>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</si>
  <si>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</si>
  <si>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</si>
  <si>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</si>
  <si>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</si>
  <si>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</si>
  <si>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</si>
  <si>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</si>
  <si>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</si>
  <si>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</si>
  <si>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</si>
  <si>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</si>
  <si>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</si>
  <si>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</si>
  <si>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</si>
  <si>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</si>
  <si>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</si>
  <si>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</si>
  <si>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</si>
  <si>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</si>
  <si>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</si>
  <si>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</si>
  <si>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</si>
  <si>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</si>
  <si>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</si>
  <si>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</si>
  <si>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</si>
  <si>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</si>
  <si>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</si>
  <si>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</si>
  <si>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</si>
  <si>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</si>
  <si>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</si>
  <si>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</si>
  <si>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</si>
  <si>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</si>
  <si>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</si>
  <si>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</si>
  <si>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</si>
  <si>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</si>
  <si>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</si>
  <si>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</si>
  <si>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</si>
  <si>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</si>
  <si>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</si>
  <si>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</si>
  <si>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</si>
  <si>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</si>
  <si>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</si>
  <si>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</si>
  <si>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</si>
  <si>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</si>
  <si>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</si>
  <si>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</si>
  <si>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</si>
  <si>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</si>
  <si>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</si>
  <si>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</si>
  <si>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</si>
  <si>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</si>
  <si>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</si>
  <si>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</si>
  <si>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</si>
  <si>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</si>
  <si>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</si>
  <si>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</si>
  <si>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</si>
  <si>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</si>
  <si>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</si>
  <si>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</si>
  <si>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</si>
  <si>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</si>
  <si>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</si>
  <si>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</si>
  <si>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</si>
  <si>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</si>
  <si>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</si>
  <si>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</si>
  <si>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</si>
  <si>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</si>
  <si>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</si>
  <si>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</si>
  <si>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</si>
  <si>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</si>
  <si>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</si>
  <si>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</si>
  <si>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</si>
  <si>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</si>
  <si>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</si>
  <si>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</si>
  <si>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</si>
  <si>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</si>
  <si>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</si>
  <si>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</si>
  <si>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</si>
  <si>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</si>
  <si>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</si>
  <si>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</si>
  <si>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</si>
  <si>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</si>
  <si>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</si>
  <si>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</si>
  <si>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</si>
  <si>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</si>
  <si>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</si>
  <si>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</si>
  <si>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</si>
  <si>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</si>
  <si>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</si>
  <si>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</si>
  <si>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</si>
  <si>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</si>
  <si>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</si>
  <si>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</si>
  <si>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</si>
  <si>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</si>
  <si>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</si>
  <si>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</si>
  <si>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</si>
  <si>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</si>
  <si>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</si>
  <si>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</si>
  <si>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</si>
  <si>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</si>
  <si>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</si>
  <si>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</si>
  <si>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</si>
  <si>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</si>
  <si>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</si>
  <si>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</si>
  <si>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</si>
  <si>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</si>
  <si>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</si>
  <si>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</si>
  <si>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</si>
  <si>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</si>
  <si>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</si>
  <si>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</si>
  <si>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</si>
  <si>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</si>
  <si>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</si>
  <si>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</si>
  <si>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</si>
  <si>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</si>
  <si>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</si>
  <si>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</si>
  <si>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</si>
  <si>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</si>
  <si>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</si>
  <si>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</si>
  <si>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</si>
  <si>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</si>
  <si>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</si>
  <si>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</si>
  <si>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</si>
  <si>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</si>
  <si>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</si>
  <si>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</si>
  <si>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</si>
  <si>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</si>
  <si>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</si>
  <si>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</si>
  <si>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</si>
  <si>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</si>
  <si>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</si>
  <si>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</si>
  <si>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</si>
  <si>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</si>
  <si>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</si>
  <si>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</si>
  <si>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</si>
  <si>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</si>
  <si>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</si>
  <si>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</si>
  <si>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</si>
  <si>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</si>
  <si>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</si>
  <si>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</si>
  <si>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</si>
  <si>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</si>
  <si>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</si>
  <si>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</si>
  <si>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</si>
  <si>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</si>
  <si>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</si>
  <si>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</si>
  <si>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</si>
  <si>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</si>
  <si>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</si>
  <si>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</si>
  <si>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</si>
  <si>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</si>
  <si>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</si>
  <si>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</si>
  <si>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</si>
  <si>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</si>
  <si>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</si>
  <si>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</si>
  <si>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</si>
  <si>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</si>
  <si>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</si>
  <si>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</si>
  <si>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</si>
  <si>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</si>
  <si>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</si>
  <si>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</si>
  <si>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</si>
  <si>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</si>
  <si>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</si>
  <si>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</si>
  <si>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</si>
  <si>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</si>
  <si>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</si>
  <si>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</si>
  <si>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</si>
  <si>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</si>
  <si>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</si>
  <si>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</si>
  <si>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</si>
  <si>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</si>
  <si>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</si>
  <si>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</si>
  <si>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</si>
  <si>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</si>
  <si>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</si>
  <si>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</si>
  <si>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</si>
  <si>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</si>
  <si>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</si>
  <si>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</si>
  <si>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</si>
  <si>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</si>
  <si>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</si>
  <si>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</si>
  <si>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</si>
  <si>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</si>
  <si>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</si>
  <si>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</si>
  <si>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</si>
  <si>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</si>
  <si>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</si>
  <si>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</si>
  <si>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</si>
  <si>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</si>
  <si>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</si>
  <si>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</si>
  <si>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</si>
  <si>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</si>
  <si>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</si>
  <si>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</si>
  <si>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</si>
  <si>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</si>
  <si>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</si>
  <si>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</si>
  <si>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</si>
  <si>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</si>
  <si>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</si>
  <si>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</si>
  <si>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</si>
  <si>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</si>
  <si>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</si>
  <si>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</si>
  <si>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</si>
  <si>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</si>
  <si>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</si>
  <si>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</si>
  <si>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</si>
  <si>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</si>
  <si>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</si>
  <si>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</si>
  <si>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</si>
  <si>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</si>
  <si>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</si>
  <si>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</si>
  <si>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</si>
  <si>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</si>
  <si>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</si>
  <si>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</si>
  <si>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</si>
  <si>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</si>
  <si>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</si>
  <si>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</si>
  <si>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</si>
  <si>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</si>
  <si>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</si>
  <si>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</si>
  <si>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</si>
  <si>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</si>
  <si>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</si>
  <si>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</si>
  <si>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</si>
  <si>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</si>
  <si>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</si>
  <si>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</si>
  <si>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</si>
  <si>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</si>
  <si>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</si>
  <si>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</si>
  <si>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</si>
  <si>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</si>
  <si>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</si>
  <si>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</si>
  <si>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</si>
  <si>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</si>
  <si>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</si>
  <si>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</si>
  <si>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</si>
  <si>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</si>
  <si>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</si>
  <si>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</si>
  <si>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</si>
  <si>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</si>
  <si>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</si>
  <si>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</si>
  <si>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</si>
  <si>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</si>
  <si>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</si>
  <si>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</si>
  <si>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</si>
  <si>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</si>
  <si>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</si>
  <si>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</si>
  <si>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</si>
  <si>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</si>
  <si>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</si>
  <si>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</si>
  <si>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</si>
  <si>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</si>
  <si>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</si>
  <si>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</si>
  <si>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</si>
  <si>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</si>
  <si>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</si>
  <si>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</si>
  <si>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</si>
  <si>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</si>
  <si>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</si>
  <si>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</si>
  <si>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</si>
  <si>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</si>
  <si>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</si>
  <si>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</si>
  <si>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</si>
  <si>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</si>
  <si>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</si>
  <si>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</si>
  <si>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</si>
  <si>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</si>
  <si>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</si>
  <si>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</si>
  <si>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</si>
  <si>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</si>
  <si>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</si>
  <si>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</si>
  <si>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</si>
  <si>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</si>
  <si>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</si>
  <si>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</si>
  <si>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</si>
  <si>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</si>
  <si>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</si>
  <si>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</si>
  <si>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</si>
  <si>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</si>
  <si>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</si>
  <si>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</si>
  <si>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</si>
  <si>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</si>
  <si>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</si>
  <si>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</si>
  <si>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</si>
  <si>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</si>
  <si>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</si>
  <si>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</si>
  <si>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</si>
  <si>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</si>
  <si>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</si>
  <si>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</si>
  <si>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</si>
  <si>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</si>
  <si>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</si>
  <si>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</si>
  <si>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</si>
  <si>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</si>
  <si>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</si>
  <si>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</si>
  <si>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</si>
  <si>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</si>
  <si>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</si>
  <si>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</si>
  <si>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</si>
  <si>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</si>
  <si>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</si>
  <si>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</si>
  <si>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</si>
  <si>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</si>
  <si>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</si>
  <si>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</si>
  <si>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</si>
  <si>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</si>
  <si>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</si>
  <si>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</si>
  <si>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</si>
  <si>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</si>
  <si>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</si>
  <si>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</si>
  <si>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</si>
  <si>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</si>
  <si>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</si>
  <si>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</si>
  <si>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</si>
  <si>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</si>
  <si>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</si>
  <si>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</si>
  <si>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</si>
  <si>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</si>
  <si>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</si>
  <si>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</si>
  <si>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</si>
  <si>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</si>
  <si>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</si>
  <si>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</si>
  <si>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</si>
  <si>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</si>
  <si>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</si>
  <si>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</si>
  <si>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</si>
  <si>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</si>
  <si>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</si>
  <si>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</si>
  <si>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</si>
  <si>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</si>
  <si>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</si>
  <si>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</si>
  <si>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</si>
  <si>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</si>
  <si>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</si>
  <si>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</si>
  <si>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</si>
  <si>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</si>
  <si>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</si>
  <si>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</si>
  <si>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</si>
  <si>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</si>
  <si>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</si>
  <si>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</si>
  <si>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</si>
  <si>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</si>
  <si>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</si>
  <si>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</si>
  <si>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</si>
  <si>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</si>
  <si>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</si>
  <si>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</si>
  <si>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</si>
  <si>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</si>
  <si>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</si>
  <si>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</si>
  <si>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</si>
  <si>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</si>
  <si>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</si>
  <si>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</si>
  <si>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</si>
  <si>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</si>
  <si>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</si>
  <si>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</si>
  <si>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</si>
  <si>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</si>
  <si>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</si>
  <si>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</si>
  <si>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</si>
  <si>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</si>
  <si>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</si>
  <si>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</si>
  <si>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</si>
  <si>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</si>
  <si>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</si>
  <si>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</si>
  <si>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</si>
  <si>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</si>
  <si>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</si>
  <si>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</si>
  <si>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</si>
  <si>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</si>
  <si>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</si>
  <si>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</si>
  <si>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</si>
  <si>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</si>
  <si>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</si>
  <si>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</si>
  <si>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</si>
  <si>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</si>
  <si>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</si>
  <si>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</si>
  <si>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</si>
  <si>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</si>
  <si>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</si>
  <si>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</si>
  <si>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</si>
  <si>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</si>
  <si>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</si>
  <si>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</si>
  <si>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</si>
  <si>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</si>
  <si>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</si>
  <si>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</si>
  <si>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</si>
  <si>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</si>
  <si>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</si>
  <si>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</si>
  <si>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</si>
  <si>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</si>
  <si>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</si>
  <si>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</si>
  <si>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</si>
  <si>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</si>
  <si>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</si>
  <si>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</si>
  <si>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</si>
  <si>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</si>
  <si>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</si>
  <si>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</si>
  <si>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</si>
  <si>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</si>
  <si>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</si>
  <si>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</si>
  <si>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</si>
  <si>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</si>
  <si>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</si>
  <si>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</si>
  <si>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</si>
  <si>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</si>
  <si>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</si>
  <si>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</si>
  <si>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</si>
  <si>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</si>
  <si>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</si>
  <si>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</si>
  <si>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</si>
  <si>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</si>
  <si>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</si>
  <si>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</si>
  <si>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</si>
  <si>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</si>
  <si>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</si>
  <si>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</si>
  <si>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</si>
  <si>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</si>
  <si>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</si>
  <si>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</si>
  <si>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</si>
  <si>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</si>
  <si>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</si>
  <si>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</si>
  <si>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</si>
  <si>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</si>
  <si>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</si>
  <si>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</si>
  <si>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</si>
  <si>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</si>
  <si>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</si>
  <si>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</si>
  <si>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</si>
  <si>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</si>
  <si>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</si>
  <si>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</si>
  <si>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</si>
  <si>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</si>
  <si>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</si>
  <si>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</si>
  <si>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</si>
  <si>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</si>
  <si>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</si>
  <si>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</si>
  <si>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</si>
  <si>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</si>
  <si>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</si>
  <si>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</si>
  <si>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</si>
  <si>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</si>
  <si>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</si>
  <si>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</si>
  <si>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</si>
  <si>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</si>
  <si>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</si>
  <si>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</si>
  <si>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</si>
  <si>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</si>
  <si>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</si>
  <si>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</si>
  <si>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</si>
  <si>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</si>
  <si>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</si>
  <si>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</si>
  <si>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</si>
  <si>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</si>
  <si>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</si>
  <si>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</si>
  <si>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</si>
  <si>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</si>
  <si>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</si>
  <si>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</si>
  <si>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</si>
  <si>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</si>
  <si>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</si>
  <si>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</si>
  <si>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</si>
  <si>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</si>
  <si>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</si>
  <si>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</si>
  <si>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</si>
  <si>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</si>
  <si>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</si>
  <si>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</si>
  <si>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</si>
  <si>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</si>
  <si>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</si>
  <si>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</si>
  <si>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</si>
  <si>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</si>
  <si>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</si>
  <si>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</si>
  <si>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</si>
  <si>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</si>
  <si>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</si>
  <si>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</si>
  <si>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</si>
  <si>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</si>
  <si>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</si>
  <si>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</si>
  <si>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</si>
  <si>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</si>
  <si>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</si>
  <si>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</si>
  <si>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</si>
  <si>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</si>
  <si>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</si>
  <si>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</si>
  <si>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</si>
  <si>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</si>
  <si>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</si>
  <si>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</si>
  <si>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</si>
  <si>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</si>
  <si>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</si>
  <si>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</si>
  <si>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</si>
  <si>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</si>
  <si>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</si>
  <si>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</si>
  <si>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</si>
  <si>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</si>
  <si>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</si>
  <si>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</si>
  <si>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</si>
  <si>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</si>
  <si>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</si>
  <si>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</si>
  <si>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</si>
  <si>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</si>
  <si>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</si>
  <si>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</si>
  <si>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</si>
  <si>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</si>
  <si>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</si>
  <si>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</si>
  <si>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</si>
  <si>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</si>
  <si>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</si>
  <si>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</si>
  <si>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</si>
  <si>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</si>
  <si>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</si>
  <si>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</si>
  <si>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</si>
  <si>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</si>
  <si>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</si>
  <si>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</si>
  <si>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</si>
  <si>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</si>
  <si>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</si>
  <si>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</si>
  <si>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</si>
  <si>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</si>
  <si>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</si>
  <si>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</si>
  <si>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</si>
  <si>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</si>
  <si>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</si>
  <si>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</si>
  <si>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</si>
  <si>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</si>
  <si>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</si>
  <si>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</si>
  <si>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</si>
  <si>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</si>
  <si>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</si>
  <si>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</si>
  <si>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</si>
  <si>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</si>
  <si>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</si>
  <si>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</si>
  <si>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</si>
  <si>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</si>
  <si>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</si>
  <si>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</si>
  <si>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</si>
  <si>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</si>
  <si>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</si>
  <si>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</si>
  <si>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</si>
  <si>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</si>
  <si>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</si>
  <si>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</si>
  <si>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</si>
  <si>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</si>
  <si>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</si>
  <si>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</si>
  <si>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</si>
  <si>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</si>
  <si>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</si>
  <si>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</si>
  <si>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</si>
  <si>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</si>
  <si>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</si>
  <si>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</si>
  <si>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</si>
  <si>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</si>
  <si>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</si>
  <si>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</si>
  <si>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</si>
  <si>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</si>
  <si>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</si>
  <si>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</si>
  <si>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</si>
  <si>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</si>
  <si>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</si>
  <si>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</si>
  <si>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</si>
  <si>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</si>
  <si>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</si>
  <si>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</si>
  <si>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</si>
  <si>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</si>
  <si>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</si>
  <si>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</si>
  <si>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</si>
  <si>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</si>
  <si>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</si>
  <si>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</si>
  <si>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</si>
  <si>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</si>
  <si>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</si>
  <si>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</si>
  <si>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</si>
  <si>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</si>
  <si>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</si>
  <si>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</si>
  <si>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</si>
  <si>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</si>
  <si>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</si>
  <si>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</si>
  <si>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</si>
  <si>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</si>
  <si>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</si>
  <si>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</si>
  <si>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</si>
  <si>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</si>
  <si>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</si>
  <si>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</si>
  <si>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</si>
  <si>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</si>
  <si>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</si>
  <si>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</si>
  <si>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</si>
  <si>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</si>
  <si>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</si>
  <si>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</si>
  <si>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</si>
  <si>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</si>
  <si>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</si>
  <si>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</si>
  <si>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</si>
  <si>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</si>
  <si>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</si>
  <si>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</si>
  <si>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</si>
  <si>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</si>
  <si>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</si>
  <si>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</si>
  <si>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</si>
  <si>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</si>
  <si>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</si>
  <si>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</si>
  <si>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</si>
  <si>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</si>
  <si>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</si>
  <si>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</si>
  <si>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</si>
  <si>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</si>
  <si>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</si>
  <si>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</si>
  <si>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</si>
  <si>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</si>
  <si>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</si>
  <si>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</si>
  <si>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</si>
  <si>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</si>
  <si>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</si>
  <si>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</si>
  <si>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</si>
  <si>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</si>
  <si>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</si>
  <si>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</si>
  <si>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</si>
  <si>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</si>
  <si>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</si>
  <si>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</si>
  <si>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</si>
  <si>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</si>
  <si>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</si>
  <si>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</si>
  <si>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</si>
  <si>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</si>
  <si>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</si>
  <si>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</si>
  <si>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</si>
  <si>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</si>
  <si>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</si>
  <si>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</si>
  <si>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</si>
  <si>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</si>
  <si>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</si>
  <si>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</si>
  <si>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</si>
  <si>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</si>
  <si>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</si>
  <si>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</si>
  <si>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</si>
  <si>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</si>
  <si>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</si>
  <si>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</si>
  <si>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</si>
  <si>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</si>
  <si>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</si>
  <si>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</si>
  <si>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</si>
  <si>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</si>
  <si>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</si>
  <si>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</si>
  <si>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</si>
  <si>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</si>
  <si>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</si>
  <si>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</si>
  <si>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</si>
  <si>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</si>
  <si>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</si>
  <si>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</si>
  <si>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</si>
  <si>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</si>
  <si>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</si>
  <si>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</si>
  <si>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</si>
  <si>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</si>
  <si>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</si>
  <si>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</si>
  <si>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</si>
  <si>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</si>
  <si>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</si>
  <si>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</si>
  <si>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</si>
  <si>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</si>
  <si>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</si>
  <si>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</si>
  <si>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</si>
  <si>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</si>
  <si>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</si>
  <si>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</si>
  <si>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</si>
  <si>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</si>
  <si>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</si>
  <si>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</si>
  <si>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</si>
  <si>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</si>
  <si>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</si>
  <si>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</si>
  <si>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</si>
  <si>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</si>
  <si>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</si>
  <si>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</si>
  <si>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</si>
  <si>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</si>
  <si>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</si>
  <si>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</si>
  <si>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</si>
  <si>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</si>
  <si>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</si>
  <si>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</si>
  <si>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</si>
  <si>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</si>
  <si>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</si>
  <si>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</si>
  <si>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</si>
  <si>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</si>
  <si>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</si>
  <si>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</si>
  <si>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</si>
  <si>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</si>
  <si>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</si>
  <si>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</si>
  <si>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</si>
  <si>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</si>
  <si>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</si>
  <si>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</si>
  <si>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</si>
  <si>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</si>
  <si>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</si>
  <si>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</si>
  <si>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</si>
  <si>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</si>
  <si>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</si>
  <si>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</si>
  <si>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</si>
  <si>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</si>
  <si>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</si>
  <si>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</si>
  <si>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</si>
  <si>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</si>
  <si>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</si>
  <si>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</si>
  <si>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</si>
  <si>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</si>
  <si>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</si>
  <si>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</si>
  <si>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</si>
  <si>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</si>
  <si>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</si>
  <si>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</si>
  <si>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</si>
  <si>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</si>
  <si>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</si>
  <si>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</si>
  <si>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</si>
  <si>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</si>
  <si>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</si>
  <si>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</si>
  <si>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</si>
  <si>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</si>
  <si>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</si>
  <si>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</si>
  <si>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</si>
  <si>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</si>
  <si>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</si>
  <si>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</si>
  <si>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</si>
  <si>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</si>
  <si>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</si>
  <si>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</si>
  <si>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</si>
  <si>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</si>
  <si>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</si>
  <si>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</si>
  <si>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</si>
  <si>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</si>
  <si>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</si>
  <si>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</si>
  <si>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</si>
  <si>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</si>
  <si>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</si>
  <si>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</si>
  <si>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</si>
  <si>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</si>
  <si>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</si>
  <si>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</si>
  <si>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</si>
  <si>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</si>
  <si>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</si>
  <si>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</si>
  <si>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</si>
  <si>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</si>
  <si>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</si>
  <si>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</si>
  <si>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</si>
  <si>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</si>
  <si>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</si>
  <si>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</si>
  <si>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</si>
  <si>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</si>
  <si>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</si>
  <si>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</si>
  <si>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</si>
  <si>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</si>
  <si>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</si>
  <si>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</si>
  <si>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</si>
  <si>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</si>
  <si>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</si>
  <si>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</si>
  <si>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</si>
  <si>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</si>
  <si>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</si>
  <si>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</si>
  <si>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</si>
  <si>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</si>
  <si>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</si>
  <si>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</si>
  <si>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</si>
  <si>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</si>
  <si>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</si>
  <si>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</si>
  <si>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</si>
  <si>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</si>
  <si>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</si>
  <si>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</si>
  <si>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</si>
  <si>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</si>
  <si>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</si>
  <si>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</si>
  <si>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</si>
  <si>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</si>
  <si>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</si>
  <si>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</si>
  <si>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</si>
  <si>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</si>
  <si>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</si>
  <si>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</si>
  <si>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</si>
  <si>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</si>
  <si>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</si>
  <si>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</si>
  <si>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</si>
  <si>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</si>
  <si>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</si>
  <si>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</si>
  <si>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</si>
  <si>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</si>
  <si>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</si>
  <si>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</si>
  <si>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</si>
  <si>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</si>
  <si>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</si>
  <si>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</si>
  <si>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</si>
  <si>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</si>
  <si>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</si>
  <si>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</si>
  <si>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</si>
  <si>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</si>
  <si>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</si>
  <si>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</si>
  <si>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</si>
  <si>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</si>
  <si>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</si>
  <si>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</si>
  <si>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</si>
  <si>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</si>
  <si>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</si>
  <si>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</si>
  <si>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</si>
  <si>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</si>
  <si>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</si>
  <si>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</si>
  <si>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</si>
  <si>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</si>
  <si>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</si>
  <si>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</si>
  <si>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</si>
  <si>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</si>
  <si>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</si>
  <si>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</si>
  <si>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</si>
  <si>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</si>
  <si>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</si>
  <si>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</si>
  <si>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</si>
  <si>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</si>
  <si>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</si>
  <si>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</si>
  <si>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</si>
  <si>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</si>
  <si>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</si>
  <si>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</si>
  <si>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</si>
  <si>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</si>
  <si>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</si>
  <si>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</si>
  <si>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</si>
  <si>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</si>
  <si>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</si>
  <si>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</si>
  <si>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</si>
  <si>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</si>
  <si>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</si>
  <si>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</si>
  <si>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</si>
  <si>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</si>
  <si>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</si>
  <si>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</si>
  <si>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</si>
  <si>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</si>
  <si>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</si>
  <si>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</si>
  <si>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</si>
  <si>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</si>
  <si>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</si>
  <si>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</si>
  <si>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</si>
  <si>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</si>
  <si>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</si>
  <si>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</si>
  <si>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</si>
  <si>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</si>
  <si>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</si>
  <si>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</si>
  <si>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</si>
  <si>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</si>
  <si>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</si>
  <si>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</si>
  <si>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</si>
  <si>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</si>
  <si>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</si>
  <si>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</si>
  <si>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</si>
  <si>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</si>
  <si>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</si>
  <si>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</si>
  <si>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</si>
  <si>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</si>
  <si>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</si>
  <si>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</si>
  <si>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</si>
  <si>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</si>
  <si>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</si>
  <si>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</si>
  <si>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</si>
  <si>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</si>
  <si>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</si>
  <si>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</si>
  <si>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</si>
  <si>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</si>
  <si>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</si>
  <si>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</si>
  <si>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</si>
  <si>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</si>
  <si>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</si>
  <si>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</si>
  <si>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</si>
  <si>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</si>
  <si>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</si>
  <si>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</si>
  <si>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</si>
  <si>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</si>
  <si>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</si>
  <si>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</si>
  <si>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</si>
  <si>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</si>
  <si>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</si>
  <si>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</si>
  <si>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</si>
  <si>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</si>
  <si>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</si>
  <si>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</si>
  <si>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</si>
  <si>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</si>
  <si>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</si>
  <si>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</si>
  <si>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</si>
  <si>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</si>
  <si>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</si>
  <si>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</si>
  <si>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</si>
  <si>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</si>
  <si>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</si>
  <si>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</si>
  <si>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</si>
  <si>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</si>
  <si>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</si>
  <si>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</si>
  <si>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</si>
  <si>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</si>
  <si>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</si>
  <si>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</si>
  <si>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</si>
  <si>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</si>
  <si>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</si>
  <si>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</si>
  <si>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</si>
  <si>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</si>
  <si>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</si>
  <si>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</si>
  <si>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</si>
  <si>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</si>
  <si>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</si>
  <si>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</si>
  <si>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</si>
  <si>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</si>
  <si>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</si>
  <si>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</si>
  <si>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</si>
  <si>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</si>
  <si>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</si>
  <si>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</si>
  <si>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</si>
  <si>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</si>
  <si>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</si>
  <si>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</si>
  <si>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</si>
  <si>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</si>
  <si>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</si>
  <si>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</si>
  <si>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</si>
  <si>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</si>
  <si>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</si>
  <si>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</si>
  <si>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</si>
  <si>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</si>
  <si>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</si>
  <si>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</si>
  <si>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</si>
  <si>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</si>
  <si>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</si>
  <si>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</si>
  <si>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</si>
  <si>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</si>
  <si>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</si>
  <si>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</si>
  <si>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</si>
  <si>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</si>
  <si>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</si>
  <si>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</si>
  <si>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</si>
  <si>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</si>
  <si>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</si>
  <si>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</si>
  <si>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</si>
  <si>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</si>
  <si>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</si>
  <si>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</si>
  <si>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</si>
  <si>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</si>
  <si>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</si>
  <si>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</si>
  <si>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</si>
  <si>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</si>
  <si>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</si>
  <si>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</si>
  <si>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</si>
  <si>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</si>
  <si>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</si>
  <si>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</si>
  <si>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</si>
  <si>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</si>
  <si>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</si>
  <si>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</si>
  <si>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</si>
  <si>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</si>
  <si>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</si>
  <si>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</si>
  <si>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</si>
  <si>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</si>
  <si>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</si>
  <si>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</si>
  <si>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</si>
  <si>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</si>
  <si>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</si>
  <si>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</si>
  <si>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</si>
  <si>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</si>
  <si>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</si>
  <si>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</si>
  <si>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</si>
  <si>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</si>
  <si>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</si>
  <si>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</si>
  <si>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</si>
  <si>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</si>
  <si>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</si>
  <si>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</si>
  <si>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</si>
  <si>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</si>
  <si>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</si>
  <si>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</si>
  <si>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</si>
  <si>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</si>
  <si>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</si>
  <si>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</si>
  <si>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</si>
  <si>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</si>
  <si>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</si>
  <si>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</si>
  <si>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</si>
  <si>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</si>
  <si>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</si>
  <si>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</si>
  <si>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</si>
  <si>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</si>
  <si>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</si>
  <si>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</si>
  <si>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</si>
  <si>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</si>
  <si>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</si>
  <si>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</si>
  <si>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</si>
  <si>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</si>
  <si>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</si>
  <si>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</si>
  <si>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</si>
  <si>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</si>
  <si>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</si>
  <si>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</si>
  <si>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</si>
  <si>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</si>
  <si>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</si>
  <si>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</si>
  <si>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</si>
  <si>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</si>
  <si>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</si>
  <si>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</si>
  <si>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</si>
  <si>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</si>
  <si>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</si>
  <si>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</si>
  <si>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</si>
  <si>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</si>
  <si>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</si>
  <si>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</si>
  <si>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</si>
  <si>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</si>
  <si>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</si>
  <si>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</si>
  <si>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</si>
  <si>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</si>
  <si>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</si>
  <si>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</si>
  <si>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</si>
  <si>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</si>
  <si>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</si>
  <si>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</si>
  <si>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</si>
  <si>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</si>
  <si>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</si>
  <si>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</si>
  <si>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</si>
  <si>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</si>
  <si>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</si>
  <si>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</si>
  <si>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</si>
  <si>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</si>
  <si>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</si>
  <si>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</si>
  <si>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</si>
  <si>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</si>
  <si>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</si>
  <si>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</si>
  <si>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</si>
  <si>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</si>
  <si>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</si>
  <si>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</si>
  <si>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</si>
  <si>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</si>
  <si>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</si>
  <si>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</si>
  <si>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</si>
  <si>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</si>
  <si>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</si>
  <si>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</si>
  <si>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</si>
  <si>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</si>
  <si>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</si>
  <si>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</si>
  <si>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</si>
  <si>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</si>
  <si>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</si>
  <si>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</si>
  <si>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</si>
  <si>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</si>
  <si>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</si>
  <si>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</si>
  <si>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</si>
  <si>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</si>
  <si>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</si>
  <si>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</si>
  <si>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</si>
  <si>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</si>
  <si>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</si>
  <si>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</si>
  <si>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</si>
  <si>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</si>
  <si>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</si>
  <si>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</si>
  <si>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</si>
  <si>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</si>
  <si>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</si>
  <si>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</si>
  <si>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</si>
  <si>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</si>
  <si>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</si>
  <si>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</si>
  <si>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</si>
  <si>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</si>
  <si>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</si>
  <si>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</si>
  <si>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</si>
  <si>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</si>
  <si>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</si>
  <si>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</si>
  <si>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</si>
  <si>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</si>
  <si>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</si>
  <si>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</si>
  <si>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</si>
  <si>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</si>
  <si>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</si>
  <si>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</si>
  <si>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</si>
  <si>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</si>
  <si>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</si>
  <si>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</si>
  <si>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</si>
  <si>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</si>
  <si>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</si>
  <si>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</si>
  <si>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</si>
  <si>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</si>
  <si>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</si>
  <si>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</si>
  <si>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</si>
  <si>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</si>
  <si>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</si>
  <si>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</si>
  <si>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</si>
  <si>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</si>
  <si>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</si>
  <si>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</si>
  <si>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</si>
  <si>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</si>
  <si>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</si>
  <si>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</si>
  <si>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</si>
  <si>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</si>
  <si>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</si>
  <si>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</si>
  <si>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</si>
  <si>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</si>
  <si>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</si>
  <si>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</si>
  <si>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</si>
  <si>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</si>
  <si>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</si>
  <si>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</si>
  <si>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</si>
  <si>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</si>
  <si>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</si>
  <si>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</si>
  <si>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</si>
  <si>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</si>
  <si>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</si>
  <si>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</si>
  <si>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</si>
  <si>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</si>
  <si>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</si>
  <si>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</si>
  <si>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</si>
  <si>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</si>
  <si>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</si>
  <si>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</si>
  <si>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</si>
  <si>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</si>
  <si>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</si>
  <si>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</si>
  <si>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</si>
  <si>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</si>
  <si>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</si>
  <si>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</si>
  <si>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</si>
  <si>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</si>
  <si>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</si>
  <si>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</si>
  <si>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</si>
  <si>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</si>
  <si>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</si>
  <si>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</si>
  <si>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</si>
  <si>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</si>
  <si>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</si>
  <si>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</si>
  <si>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</si>
  <si>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</si>
  <si>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</si>
  <si>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</si>
  <si>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</si>
  <si>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</si>
  <si>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</si>
  <si>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</si>
  <si>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</si>
  <si>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</si>
  <si>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</si>
  <si>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</si>
  <si>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</si>
  <si>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</si>
  <si>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</si>
  <si>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</si>
  <si>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</si>
  <si>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</si>
  <si>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</si>
  <si>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</si>
  <si>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</si>
  <si>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</si>
  <si>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</si>
  <si>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</si>
  <si>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</si>
  <si>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</si>
  <si>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</si>
  <si>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</si>
  <si>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</si>
  <si>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</si>
  <si>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</si>
  <si>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</si>
  <si>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</si>
  <si>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</si>
  <si>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</si>
  <si>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</si>
  <si>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</si>
  <si>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</si>
  <si>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</si>
  <si>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</si>
  <si>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</si>
  <si>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</si>
  <si>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</si>
  <si>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</si>
  <si>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</si>
  <si>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</si>
  <si>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</si>
  <si>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</si>
  <si>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</si>
  <si>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</si>
  <si>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</si>
  <si>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</si>
  <si>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</si>
  <si>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</si>
  <si>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</si>
  <si>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</si>
  <si>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</si>
  <si>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</si>
  <si>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</si>
  <si>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</si>
  <si>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</si>
  <si>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</si>
  <si>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</si>
  <si>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</si>
  <si>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</si>
  <si>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</si>
  <si>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</si>
  <si>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</si>
  <si>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</si>
  <si>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</si>
  <si>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</si>
  <si>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</si>
  <si>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</si>
  <si>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</si>
  <si>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</si>
  <si>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</si>
  <si>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</si>
  <si>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</si>
  <si>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</si>
  <si>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</si>
  <si>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</si>
  <si>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</si>
  <si>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</si>
  <si>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</si>
  <si>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</si>
  <si>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</si>
  <si>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</si>
  <si>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</si>
  <si>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</si>
  <si>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</si>
  <si>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</si>
  <si>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</si>
  <si>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</si>
  <si>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</si>
  <si>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</si>
  <si>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</si>
  <si>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</si>
  <si>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</si>
  <si>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</si>
  <si>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</si>
  <si>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</si>
  <si>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</si>
  <si>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</si>
  <si>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</si>
  <si>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</si>
  <si>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</si>
  <si>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</si>
  <si>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</si>
  <si>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</si>
  <si>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</si>
  <si>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</si>
  <si>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</si>
  <si>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</si>
  <si>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</si>
  <si>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</si>
  <si>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</si>
  <si>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</si>
  <si>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</si>
  <si>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</si>
  <si>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</si>
  <si>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</si>
  <si>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</si>
  <si>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</si>
  <si>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</si>
  <si>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</si>
  <si>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</si>
  <si>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</si>
  <si>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</si>
  <si>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</si>
  <si>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</si>
  <si>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</si>
  <si>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</si>
  <si>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</si>
  <si>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</si>
  <si>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</si>
  <si>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</si>
  <si>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</si>
  <si>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</si>
  <si>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</si>
  <si>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</si>
  <si>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</si>
  <si>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</si>
  <si>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</si>
  <si>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</si>
  <si>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</si>
  <si>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</si>
  <si>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</si>
  <si>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</si>
  <si>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</si>
  <si>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</si>
  <si>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</si>
  <si>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</si>
  <si>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</si>
  <si>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</si>
  <si>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</si>
  <si>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</si>
  <si>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</si>
  <si>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</si>
  <si>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</si>
  <si>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</si>
  <si>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</si>
  <si>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</si>
  <si>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</si>
  <si>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</si>
  <si>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</si>
  <si>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</si>
  <si>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</si>
  <si>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</si>
  <si>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</si>
  <si>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</si>
  <si>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</si>
  <si>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</si>
  <si>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</si>
  <si>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</si>
  <si>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</si>
  <si>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</si>
  <si>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</si>
  <si>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</si>
  <si>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</si>
  <si>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</si>
  <si>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</si>
  <si>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</si>
  <si>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</si>
  <si>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</si>
  <si>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</si>
  <si>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</si>
  <si>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</si>
  <si>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</si>
  <si>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</si>
  <si>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</si>
  <si>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</si>
  <si>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</si>
  <si>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</si>
  <si>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</si>
  <si>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</si>
  <si>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</si>
  <si>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</si>
  <si>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</si>
  <si>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</si>
  <si>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</si>
  <si>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</si>
  <si>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</si>
  <si>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</si>
  <si>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</si>
  <si>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</si>
  <si>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</si>
  <si>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</si>
  <si>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</si>
  <si>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</si>
  <si>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</si>
  <si>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</si>
  <si>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</si>
  <si>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</si>
  <si>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</si>
  <si>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</si>
  <si>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</si>
  <si>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</si>
  <si>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</si>
  <si>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</si>
  <si>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</si>
  <si>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</si>
  <si>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</si>
  <si>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</si>
  <si>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</si>
  <si>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</si>
  <si>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</si>
  <si>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</si>
  <si>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</si>
  <si>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</si>
  <si>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</si>
  <si>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</si>
  <si>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</si>
  <si>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</si>
  <si>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</si>
  <si>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</si>
  <si>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</si>
  <si>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</si>
  <si>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</si>
  <si>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</si>
  <si>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</si>
  <si>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</si>
  <si>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</si>
  <si>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</si>
  <si>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</si>
  <si>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</si>
  <si>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</si>
  <si>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</si>
  <si>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</si>
  <si>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</si>
  <si>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</si>
  <si>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</si>
  <si>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</si>
  <si>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</si>
  <si>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</si>
  <si>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</si>
  <si>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</si>
  <si>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</si>
  <si>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</si>
  <si>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</si>
  <si>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</si>
  <si>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</si>
  <si>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</si>
  <si>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</si>
  <si>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</si>
  <si>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</si>
  <si>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</si>
  <si>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</si>
  <si>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</si>
  <si>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</si>
  <si>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</si>
  <si>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</si>
  <si>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</si>
  <si>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</si>
  <si>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</si>
  <si>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</si>
  <si>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</si>
  <si>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</si>
  <si>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</si>
  <si>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</si>
  <si>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</si>
  <si>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</si>
  <si>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</si>
  <si>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</si>
  <si>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</si>
  <si>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</si>
  <si>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</si>
  <si>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</si>
  <si>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</si>
  <si>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</si>
  <si>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</si>
  <si>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</si>
  <si>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</si>
  <si>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</si>
  <si>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</si>
  <si>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</si>
  <si>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</si>
  <si>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</si>
  <si>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</si>
  <si>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</si>
  <si>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</si>
  <si>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</si>
  <si>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</si>
  <si>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</si>
  <si>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</si>
  <si>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</si>
  <si>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</si>
  <si>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</si>
  <si>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</si>
  <si>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</si>
  <si>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</si>
  <si>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</si>
  <si>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</si>
  <si>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</si>
  <si>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</si>
  <si>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</si>
  <si>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</si>
  <si>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</si>
  <si>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</si>
  <si>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</si>
  <si>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</si>
  <si>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</si>
  <si>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</si>
  <si>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</si>
  <si>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</si>
  <si>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</si>
  <si>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</si>
  <si>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</si>
  <si>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</si>
  <si>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</si>
  <si>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</si>
  <si>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</si>
  <si>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</si>
  <si>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</si>
  <si>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</si>
  <si>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</si>
  <si>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</si>
  <si>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</si>
  <si>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</si>
  <si>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</si>
  <si>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</si>
  <si>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</si>
  <si>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</si>
  <si>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</si>
  <si>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</si>
  <si>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</si>
  <si>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</si>
  <si>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</si>
  <si>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</si>
  <si>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</si>
  <si>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</si>
  <si>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</si>
  <si>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</si>
  <si>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</si>
  <si>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</si>
  <si>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</si>
  <si>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</si>
  <si>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</si>
  <si>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</si>
  <si>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</si>
  <si>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</si>
  <si>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</si>
  <si>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</si>
  <si>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</si>
  <si>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</si>
  <si>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</si>
  <si>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</si>
  <si>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</si>
  <si>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</si>
  <si>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</si>
  <si>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</si>
  <si>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</si>
  <si>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</si>
  <si>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</si>
  <si>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</si>
  <si>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</si>
  <si>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</si>
  <si>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</si>
  <si>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</si>
  <si>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</si>
  <si>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</si>
  <si>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</si>
  <si>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</si>
  <si>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</si>
  <si>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</si>
  <si>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</si>
  <si>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</si>
  <si>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</si>
  <si>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</si>
  <si>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</si>
  <si>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</si>
  <si>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</si>
  <si>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</si>
  <si>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</si>
  <si>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</si>
  <si>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</si>
  <si>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</si>
  <si>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</si>
  <si>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</si>
  <si>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</si>
  <si>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</si>
  <si>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</si>
  <si>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</si>
  <si>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</si>
  <si>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</si>
  <si>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</si>
  <si>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</si>
  <si>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</si>
  <si>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</si>
  <si>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</si>
  <si>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</si>
  <si>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</si>
  <si>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</si>
  <si>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</si>
  <si>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</si>
  <si>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</si>
  <si>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</si>
  <si>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</si>
  <si>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</si>
  <si>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</si>
  <si>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</si>
  <si>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</si>
  <si>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</si>
  <si>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</si>
  <si>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</si>
  <si>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</si>
  <si>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</si>
  <si>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</si>
  <si>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</si>
  <si>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</si>
  <si>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</si>
  <si>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</si>
  <si>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</si>
  <si>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</si>
  <si>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</si>
  <si>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</si>
  <si>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</si>
  <si>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</si>
  <si>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</si>
  <si>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</si>
  <si>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</si>
  <si>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</si>
  <si>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</si>
  <si>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</si>
  <si>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</si>
  <si>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</si>
  <si>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</si>
  <si>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</si>
  <si>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</si>
  <si>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</si>
  <si>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</si>
  <si>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</si>
  <si>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</si>
  <si>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</si>
  <si>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</si>
  <si>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</si>
  <si>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</si>
  <si>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</si>
  <si>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</si>
  <si>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</si>
  <si>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</si>
  <si>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</si>
  <si>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</si>
  <si>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</si>
  <si>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</si>
  <si>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</si>
  <si>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</si>
  <si>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</si>
  <si>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</si>
  <si>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</si>
  <si>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</si>
  <si>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</si>
  <si>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</si>
  <si>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</si>
  <si>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</si>
  <si>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</si>
  <si>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</si>
  <si>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</si>
  <si>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</si>
  <si>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</si>
  <si>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</si>
  <si>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</si>
  <si>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</si>
  <si>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</si>
  <si>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</si>
  <si>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</si>
  <si>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</si>
  <si>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</si>
  <si>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</si>
  <si>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</si>
  <si>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</si>
  <si>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</si>
  <si>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</si>
  <si>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</si>
  <si>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</si>
  <si>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</si>
  <si>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</si>
  <si>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</si>
  <si>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</si>
  <si>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</si>
  <si>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</si>
  <si>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</si>
  <si>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</si>
  <si>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</si>
  <si>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</si>
  <si>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</si>
  <si>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</si>
  <si>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</si>
  <si>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</si>
  <si>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</si>
  <si>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</si>
  <si>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</si>
  <si>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</si>
  <si>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</si>
  <si>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</si>
  <si>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</si>
  <si>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</si>
  <si>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</si>
  <si>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</si>
  <si>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</si>
  <si>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</si>
  <si>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</si>
  <si>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</si>
  <si>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</si>
  <si>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</si>
  <si>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</si>
  <si>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</si>
  <si>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</si>
  <si>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</si>
  <si>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</si>
  <si>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</si>
  <si>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</si>
  <si>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</si>
  <si>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</si>
  <si>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</si>
  <si>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</si>
  <si>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</si>
  <si>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</si>
  <si>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</si>
  <si>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</si>
  <si>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</si>
  <si>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</si>
  <si>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</si>
  <si>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</si>
  <si>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</si>
  <si>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</si>
  <si>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</si>
  <si>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</si>
  <si>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</si>
  <si>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</si>
  <si>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</si>
  <si>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</si>
  <si>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</si>
  <si>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</si>
  <si>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</si>
  <si>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</si>
  <si>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</si>
  <si>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</si>
  <si>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</si>
  <si>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</si>
  <si>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</si>
  <si>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</si>
  <si>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</si>
  <si>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</si>
  <si>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</si>
  <si>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</si>
  <si>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</si>
  <si>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</si>
  <si>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</si>
  <si>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</si>
  <si>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</si>
  <si>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</si>
  <si>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</si>
  <si>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</si>
  <si>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</si>
  <si>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</si>
  <si>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</si>
  <si>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</si>
  <si>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</si>
  <si>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</si>
  <si>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</si>
  <si>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</si>
  <si>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</si>
  <si>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</si>
  <si>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</si>
  <si>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</si>
  <si>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</si>
  <si>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</si>
  <si>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</si>
  <si>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</si>
  <si>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</si>
  <si>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</si>
  <si>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</si>
  <si>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</si>
  <si>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</si>
  <si>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</si>
  <si>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</si>
  <si>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</si>
  <si>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</si>
  <si>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</si>
  <si>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</si>
  <si>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</si>
  <si>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</si>
  <si>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</si>
  <si>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</si>
  <si>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</si>
  <si>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</si>
  <si>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</si>
  <si>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</si>
  <si>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</si>
  <si>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</si>
  <si>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</si>
  <si>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</si>
  <si>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</si>
  <si>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</si>
  <si>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</si>
  <si>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</si>
  <si>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</si>
  <si>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</si>
  <si>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</si>
  <si>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</si>
  <si>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</si>
  <si>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</si>
  <si>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</si>
  <si>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</si>
  <si>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</si>
  <si>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</si>
  <si>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</si>
  <si>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</si>
  <si>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</si>
  <si>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</si>
  <si>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</si>
  <si>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</si>
  <si>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</si>
  <si>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</si>
  <si>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</si>
  <si>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</si>
  <si>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</si>
  <si>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</si>
  <si>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</si>
  <si>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</si>
  <si>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</si>
  <si>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</si>
  <si>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</si>
  <si>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</si>
  <si>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</si>
  <si>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</si>
  <si>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</si>
  <si>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</si>
  <si>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</si>
  <si>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</si>
  <si>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</si>
  <si>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</si>
  <si>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</si>
  <si>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</si>
  <si>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</si>
  <si>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</si>
  <si>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</si>
  <si>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</si>
  <si>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</si>
  <si>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</si>
  <si>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</si>
  <si>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</si>
  <si>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</si>
  <si>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</si>
  <si>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</si>
  <si>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</si>
  <si>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</si>
  <si>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</si>
  <si>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</si>
  <si>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</si>
  <si>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</si>
  <si>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</si>
  <si>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</si>
  <si>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</si>
  <si>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</si>
  <si>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</si>
  <si>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</si>
  <si>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</si>
  <si>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</si>
  <si>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</si>
  <si>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</si>
  <si>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</si>
  <si>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</si>
  <si>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</si>
  <si>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</si>
  <si>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</si>
  <si>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</si>
  <si>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</si>
  <si>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</si>
  <si>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</si>
  <si>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</si>
  <si>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</si>
  <si>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</si>
  <si>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</si>
  <si>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</si>
  <si>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</si>
  <si>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</si>
  <si>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</si>
  <si>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</si>
  <si>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</si>
  <si>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</si>
  <si>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</si>
  <si>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</si>
  <si>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</si>
  <si>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</si>
  <si>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</si>
  <si>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</si>
  <si>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</si>
  <si>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</si>
  <si>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</si>
  <si>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</si>
  <si>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</si>
  <si>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</si>
  <si>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</si>
  <si>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</si>
  <si>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</si>
  <si>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</si>
  <si>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</si>
  <si>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</si>
  <si>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</si>
  <si>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</si>
  <si>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</si>
  <si>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</si>
  <si>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</si>
  <si>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</si>
  <si>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</si>
  <si>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</si>
  <si>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</si>
  <si>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</si>
  <si>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</si>
  <si>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</si>
  <si>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</si>
  <si>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</si>
  <si>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</si>
  <si>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</si>
  <si>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</si>
  <si>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</si>
  <si>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</si>
  <si>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</si>
  <si>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</si>
  <si>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</si>
  <si>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</si>
  <si>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</si>
  <si>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</si>
  <si>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</si>
  <si>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</si>
  <si>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</si>
  <si>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</si>
  <si>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</si>
  <si>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</si>
  <si>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</si>
  <si>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</si>
  <si>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</si>
  <si>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</si>
  <si>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</si>
  <si>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</si>
  <si>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</si>
  <si>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</si>
  <si>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</si>
  <si>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</si>
  <si>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</si>
  <si>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</si>
  <si>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</si>
  <si>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</si>
  <si>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</si>
  <si>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</si>
  <si>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</si>
  <si>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</si>
  <si>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</si>
  <si>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</si>
  <si>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</si>
  <si>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</si>
  <si>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</si>
  <si>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</si>
  <si>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</si>
  <si>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</si>
  <si>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</si>
  <si>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</si>
  <si>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</si>
  <si>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</si>
  <si>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</si>
  <si>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</si>
  <si>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</si>
  <si>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</si>
  <si>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</si>
  <si>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</si>
  <si>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</si>
  <si>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</si>
  <si>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</si>
  <si>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</si>
  <si>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</si>
  <si>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</si>
  <si>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</si>
  <si>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</si>
  <si>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</si>
  <si>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</si>
  <si>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</si>
  <si>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</si>
  <si>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</si>
  <si>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</si>
  <si>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</si>
  <si>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</si>
  <si>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</si>
  <si>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</si>
  <si>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</si>
  <si>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</si>
  <si>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</si>
  <si>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</si>
  <si>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</si>
  <si>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</si>
  <si>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</si>
  <si>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</si>
  <si>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</si>
  <si>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</si>
  <si>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</si>
  <si>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</si>
  <si>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</si>
  <si>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</si>
  <si>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</si>
  <si>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</si>
  <si>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</si>
  <si>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</si>
  <si>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</si>
  <si>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</si>
  <si>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</si>
  <si>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</si>
  <si>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</si>
  <si>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</si>
  <si>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</si>
  <si>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</si>
  <si>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</si>
  <si>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</si>
  <si>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</si>
  <si>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</si>
  <si>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</si>
  <si>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</si>
  <si>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</si>
  <si>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</si>
  <si>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</si>
  <si>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</si>
  <si>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</si>
  <si>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</si>
  <si>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</si>
  <si>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</si>
  <si>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</si>
  <si>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</si>
  <si>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</si>
  <si>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</si>
  <si>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</si>
  <si>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</si>
  <si>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</si>
  <si>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</si>
  <si>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</si>
  <si>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</si>
  <si>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</si>
  <si>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</si>
  <si>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</si>
  <si>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</si>
  <si>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</si>
  <si>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</si>
  <si>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</si>
  <si>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</si>
  <si>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</si>
  <si>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</si>
  <si>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</si>
  <si>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</si>
  <si>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</si>
  <si>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</si>
  <si>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</si>
  <si>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</si>
  <si>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</si>
  <si>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</si>
  <si>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</si>
  <si>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</si>
  <si>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</si>
  <si>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</si>
  <si>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</si>
  <si>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</si>
  <si>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</si>
  <si>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</si>
  <si>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</si>
  <si>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</si>
  <si>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</si>
  <si>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</si>
  <si>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</si>
  <si>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</si>
  <si>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</si>
  <si>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</si>
  <si>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</si>
  <si>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</si>
  <si>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</si>
  <si>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</si>
  <si>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</si>
  <si>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</si>
  <si>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</si>
  <si>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</si>
  <si>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</si>
  <si>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</si>
  <si>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</si>
  <si>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</si>
  <si>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</si>
  <si>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</si>
  <si>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</si>
  <si>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</si>
  <si>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</si>
  <si>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</si>
  <si>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</si>
  <si>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</si>
  <si>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</si>
  <si>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</si>
  <si>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</si>
  <si>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</si>
  <si>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</si>
  <si>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</si>
  <si>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</si>
  <si>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</si>
  <si>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</si>
  <si>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</si>
  <si>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</si>
  <si>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</si>
  <si>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</si>
  <si>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</si>
  <si>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</si>
  <si>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</si>
  <si>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</si>
  <si>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</si>
  <si>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</si>
  <si>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</si>
  <si>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</si>
  <si>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</si>
  <si>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</si>
  <si>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</si>
  <si>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</si>
  <si>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</si>
  <si>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</si>
  <si>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</si>
  <si>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</si>
  <si>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</si>
  <si>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</si>
  <si>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</si>
  <si>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</si>
  <si>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</si>
  <si>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</si>
  <si>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</si>
  <si>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</si>
  <si>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</si>
  <si>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</si>
  <si>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</si>
  <si>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</si>
  <si>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</si>
  <si>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</si>
  <si>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</si>
  <si>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</si>
  <si>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</si>
  <si>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</si>
  <si>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</si>
  <si>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</si>
  <si>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</si>
  <si>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</si>
  <si>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</si>
  <si>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</si>
  <si>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</si>
  <si>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</si>
  <si>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</si>
  <si>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</si>
  <si>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</si>
  <si>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</si>
  <si>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</si>
  <si>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</si>
  <si>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</si>
  <si>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</si>
  <si>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</si>
  <si>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</si>
  <si>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</si>
  <si>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</si>
  <si>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</si>
  <si>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</si>
  <si>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</si>
  <si>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</si>
  <si>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</si>
  <si>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</si>
  <si>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</si>
  <si>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</si>
  <si>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</si>
  <si>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</si>
  <si>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</si>
  <si>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</si>
  <si>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</si>
  <si>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</si>
  <si>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</si>
  <si>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</si>
  <si>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</si>
  <si>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</si>
  <si>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</si>
  <si>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</si>
  <si>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</si>
  <si>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</si>
  <si>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</si>
  <si>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</si>
  <si>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</si>
  <si>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</si>
  <si>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</si>
  <si>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</si>
  <si>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</si>
  <si>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</si>
  <si>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</si>
  <si>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</si>
  <si>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</si>
  <si>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</si>
  <si>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</si>
  <si>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</si>
  <si>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</si>
  <si>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</si>
  <si>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</si>
  <si>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</si>
  <si>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</si>
  <si>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</si>
  <si>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</si>
  <si>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</si>
  <si>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</si>
  <si>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</si>
  <si>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</si>
  <si>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</si>
  <si>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</si>
  <si>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</si>
  <si>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</si>
  <si>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</si>
  <si>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</si>
  <si>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</si>
  <si>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</si>
  <si>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</si>
  <si>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</si>
  <si>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</si>
  <si>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</si>
  <si>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</si>
  <si>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</si>
  <si>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</si>
  <si>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</si>
  <si>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</si>
  <si>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</si>
  <si>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</si>
  <si>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</si>
  <si>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</si>
  <si>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</si>
  <si>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</si>
  <si>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</si>
  <si>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</si>
  <si>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</si>
  <si>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</si>
  <si>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</si>
  <si>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</si>
  <si>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</si>
  <si>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</si>
  <si>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</si>
  <si>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</si>
  <si>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</si>
  <si>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</si>
  <si>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</si>
  <si>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</si>
  <si>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</si>
  <si>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</si>
  <si>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</si>
  <si>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</si>
  <si>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</si>
  <si>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</si>
  <si>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</si>
  <si>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</si>
  <si>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</si>
  <si>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</si>
  <si>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</si>
  <si>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</si>
  <si>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</si>
  <si>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</si>
  <si>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</si>
  <si>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</si>
  <si>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</si>
  <si>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</si>
  <si>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</si>
  <si>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</si>
  <si>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</si>
  <si>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</si>
  <si>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</si>
  <si>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</si>
  <si>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</si>
  <si>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</si>
  <si>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</si>
  <si>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</si>
  <si>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</si>
  <si>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</si>
  <si>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</si>
  <si>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</si>
  <si>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</si>
  <si>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</si>
  <si>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</si>
  <si>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</si>
  <si>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</si>
  <si>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</si>
  <si>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</si>
  <si>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</si>
  <si>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</si>
  <si>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</si>
  <si>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</si>
  <si>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</si>
  <si>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</si>
  <si>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</si>
  <si>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</si>
  <si>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</si>
  <si>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</si>
  <si>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</si>
  <si>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</si>
  <si>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</si>
  <si>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</si>
  <si>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</si>
  <si>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</si>
  <si>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</si>
  <si>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</si>
  <si>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</si>
  <si>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</si>
  <si>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</si>
  <si>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</si>
  <si>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</si>
  <si>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</si>
  <si>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</si>
  <si>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</si>
  <si>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</si>
  <si>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</si>
  <si>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</si>
  <si>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</si>
  <si>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</si>
  <si>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</si>
  <si>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</si>
  <si>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</si>
  <si>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</si>
  <si>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</si>
  <si>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</si>
  <si>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</si>
  <si>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</si>
  <si>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</si>
  <si>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</si>
  <si>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</si>
  <si>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</si>
  <si>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</si>
  <si>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</si>
  <si>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</si>
  <si>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</si>
  <si>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</si>
  <si>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</si>
  <si>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</si>
  <si>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</si>
  <si>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</si>
  <si>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</si>
  <si>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</si>
  <si>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</si>
  <si>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</si>
  <si>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</si>
  <si>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</si>
  <si>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</si>
  <si>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</si>
  <si>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</si>
  <si>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</si>
  <si>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</si>
  <si>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</si>
  <si>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</si>
  <si>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</si>
  <si>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</si>
  <si>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</si>
  <si>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</si>
  <si>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</si>
  <si>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</si>
  <si>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</si>
  <si>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</si>
  <si>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</si>
  <si>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</si>
  <si>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</si>
  <si>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</si>
  <si>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</si>
  <si>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</si>
  <si>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</si>
  <si>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</si>
  <si>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</si>
  <si>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</si>
  <si>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</si>
  <si>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</si>
  <si>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</si>
  <si>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</si>
  <si>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</si>
  <si>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</si>
  <si>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</si>
  <si>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</si>
  <si>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</si>
  <si>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</si>
  <si>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</si>
  <si>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</si>
  <si>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</si>
  <si>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</si>
  <si>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</si>
  <si>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</si>
  <si>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</si>
  <si>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</si>
  <si>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</si>
  <si>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</si>
  <si>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</si>
  <si>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</si>
  <si>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</si>
  <si>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</si>
  <si>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</si>
  <si>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</si>
  <si>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</si>
  <si>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</si>
  <si>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</si>
  <si>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</si>
  <si>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</si>
  <si>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</si>
  <si>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</si>
  <si>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</si>
  <si>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</si>
  <si>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</si>
  <si>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</si>
  <si>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</si>
  <si>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</si>
  <si>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</si>
  <si>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</si>
  <si>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</si>
  <si>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</si>
  <si>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</si>
  <si>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</si>
  <si>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</si>
  <si>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</si>
  <si>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</si>
  <si>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</si>
  <si>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</si>
  <si>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</si>
  <si>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</si>
  <si>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</si>
  <si>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</si>
  <si>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</si>
  <si>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</si>
  <si>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</si>
  <si>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</si>
  <si>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</si>
  <si>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</si>
  <si>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</si>
  <si>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</si>
  <si>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</si>
  <si>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</si>
  <si>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</si>
  <si>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</si>
  <si>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</si>
  <si>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</si>
  <si>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</si>
  <si>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</si>
  <si>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</si>
  <si>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</si>
  <si>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</si>
  <si>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</si>
  <si>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</si>
  <si>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</si>
  <si>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</si>
  <si>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</si>
  <si>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</si>
  <si>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</si>
  <si>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</si>
  <si>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</si>
  <si>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</si>
  <si>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</si>
  <si>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</si>
  <si>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</si>
  <si>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</si>
  <si>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</si>
  <si>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</si>
  <si>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</si>
  <si>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</si>
  <si>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</si>
  <si>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</si>
  <si>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</si>
  <si>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</si>
  <si>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</si>
  <si>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</si>
  <si>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</si>
  <si>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</si>
  <si>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</si>
  <si>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</si>
  <si>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</si>
  <si>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</si>
  <si>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</si>
  <si>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</si>
  <si>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</si>
  <si>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</si>
  <si>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</si>
  <si>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</si>
  <si>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</si>
  <si>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</si>
  <si>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</si>
  <si>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</si>
  <si>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</si>
  <si>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</si>
  <si>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</si>
  <si>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</si>
  <si>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</si>
  <si>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</si>
  <si>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</si>
  <si>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</si>
  <si>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</si>
  <si>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</si>
  <si>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</si>
  <si>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</si>
  <si>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</si>
  <si>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</si>
  <si>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</si>
  <si>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</si>
  <si>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</si>
  <si>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</si>
  <si>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</si>
  <si>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</si>
  <si>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</si>
  <si>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</si>
  <si>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</si>
  <si>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</si>
  <si>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</si>
  <si>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</si>
  <si>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</si>
  <si>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</si>
  <si>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</si>
  <si>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</si>
  <si>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</si>
  <si>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</si>
  <si>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</si>
  <si>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</si>
  <si>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</si>
  <si>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</si>
  <si>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</si>
  <si>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</si>
  <si>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</si>
  <si>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</si>
  <si>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</si>
  <si>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</si>
  <si>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</si>
  <si>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</si>
  <si>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</si>
  <si>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</si>
  <si>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</si>
  <si>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</si>
  <si>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</si>
  <si>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</si>
  <si>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</si>
  <si>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</si>
  <si>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</si>
  <si>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</si>
  <si>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</si>
  <si>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</si>
  <si>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</si>
  <si>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</si>
  <si>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</si>
  <si>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</si>
  <si>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</si>
  <si>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</si>
  <si>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</si>
  <si>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</si>
  <si>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</si>
  <si>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</si>
  <si>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</si>
  <si>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</si>
  <si>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</si>
  <si>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</si>
  <si>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</si>
  <si>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</si>
  <si>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</si>
  <si>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</si>
  <si>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</si>
  <si>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</si>
  <si>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</si>
  <si>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</si>
  <si>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</si>
  <si>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</si>
  <si>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</si>
  <si>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</si>
  <si>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</si>
  <si>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</si>
  <si>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</si>
  <si>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</si>
  <si>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</si>
  <si>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</si>
  <si>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</si>
  <si>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</si>
  <si>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</si>
  <si>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</si>
  <si>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</si>
  <si>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</si>
  <si>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</si>
  <si>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</si>
  <si>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</si>
  <si>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</si>
  <si>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</si>
  <si>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</si>
  <si>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</si>
  <si>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</si>
  <si>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</si>
  <si>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</si>
  <si>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</si>
  <si>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</si>
  <si>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</si>
  <si>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</si>
  <si>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</si>
  <si>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</si>
  <si>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</si>
  <si>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</si>
  <si>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</si>
  <si>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</si>
  <si>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</si>
  <si>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</si>
  <si>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</si>
  <si>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</si>
  <si>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</si>
  <si>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</si>
  <si>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</si>
  <si>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</si>
  <si>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</si>
  <si>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</si>
  <si>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</si>
  <si>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</si>
  <si>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</si>
  <si>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</si>
  <si>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</si>
  <si>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</si>
  <si>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</si>
  <si>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</si>
  <si>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</si>
  <si>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</si>
  <si>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</si>
  <si>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</si>
  <si>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</si>
  <si>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</si>
  <si>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</si>
  <si>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</si>
  <si>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</si>
  <si>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</si>
  <si>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</si>
  <si>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</si>
  <si>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</si>
  <si>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</si>
  <si>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</si>
  <si>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</si>
  <si>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</si>
  <si>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</si>
  <si>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</si>
  <si>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</si>
  <si>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</si>
  <si>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</si>
  <si>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</si>
  <si>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</si>
  <si>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</si>
  <si>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</si>
  <si>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</si>
  <si>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</si>
  <si>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</si>
  <si>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</si>
  <si>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</si>
  <si>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</si>
  <si>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</si>
  <si>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</si>
  <si>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</si>
  <si>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</si>
  <si>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</si>
  <si>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</si>
  <si>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</si>
  <si>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</si>
  <si>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</si>
  <si>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</si>
  <si>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</si>
  <si>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</si>
  <si>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</si>
  <si>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</si>
  <si>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</si>
  <si>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</si>
  <si>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</si>
  <si>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</si>
  <si>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</si>
  <si>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</si>
  <si>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</si>
  <si>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</si>
  <si>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</si>
  <si>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</si>
  <si>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</si>
  <si>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</si>
  <si>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</si>
  <si>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abulance</t>
  </si>
  <si>
    <t>en_voiture</t>
  </si>
  <si>
    <t>En voiture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</si>
</sst>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10088</v>
      </c>
      <c r="B16">
        <v>170</v>
      </c>
      <c r="C16" t="s">
        <v>10089</v>
      </c>
      <c r="D16" t="s">
        <v>84</v>
      </c>
      <c r="E16" t="s">
        <v>85</v>
      </c>
      <c r="F16" t="s">
        <v>86</v>
      </c>
    </row>
    <row r="17" spans="1:6" s="36" customFormat="1" ht="15.6" customHeight="1" x14ac:dyDescent="0.3">
      <c r="A17" s="36" t="s">
        <v>366</v>
      </c>
      <c r="B17" s="36">
        <v>180</v>
      </c>
      <c r="C17" s="36" t="s">
        <v>10090</v>
      </c>
      <c r="D17" s="36" t="s">
        <v>36</v>
      </c>
      <c r="E17" s="36" t="s">
        <v>36</v>
      </c>
      <c r="F17" s="36" t="s">
        <v>10091</v>
      </c>
    </row>
    <row r="18" spans="1:6" ht="15.6" customHeight="1" x14ac:dyDescent="0.3">
      <c r="A18" t="s">
        <v>7798</v>
      </c>
      <c r="B18" s="36">
        <v>190</v>
      </c>
      <c r="C18" t="s">
        <v>10034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10108</v>
      </c>
      <c r="B41" s="36" t="s">
        <v>34</v>
      </c>
      <c r="C41" s="36" t="s">
        <v>10109</v>
      </c>
      <c r="E41" s="36" t="s">
        <v>332</v>
      </c>
    </row>
    <row r="42" spans="1:8" ht="15.6" customHeight="1" x14ac:dyDescent="0.3">
      <c r="A42" s="4" t="s">
        <v>1029</v>
      </c>
      <c r="B42" t="s">
        <v>46</v>
      </c>
      <c r="C42" t="s">
        <v>10105</v>
      </c>
      <c r="D42" t="s">
        <v>127</v>
      </c>
      <c r="E42" t="s">
        <v>49</v>
      </c>
      <c r="F42" t="s">
        <v>10106</v>
      </c>
      <c r="G42" s="43" t="s">
        <v>326</v>
      </c>
      <c r="H42">
        <v>1</v>
      </c>
    </row>
    <row r="43" spans="1:8" ht="15.6" customHeight="1" x14ac:dyDescent="0.3">
      <c r="A43" s="43" t="s">
        <v>9513</v>
      </c>
      <c r="B43" t="s">
        <v>46</v>
      </c>
      <c r="C43" t="s">
        <v>327</v>
      </c>
      <c r="D43" t="s">
        <v>48</v>
      </c>
      <c r="E43" t="s">
        <v>79</v>
      </c>
      <c r="F43" t="s">
        <v>328</v>
      </c>
      <c r="G43" s="7" t="s">
        <v>9521</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10033</v>
      </c>
      <c r="B56" t="s">
        <v>23</v>
      </c>
      <c r="C56" t="s">
        <v>238</v>
      </c>
      <c r="D56" t="s">
        <v>239</v>
      </c>
      <c r="E56" t="s">
        <v>79</v>
      </c>
      <c r="F56" t="s">
        <v>240</v>
      </c>
      <c r="G56" s="7" t="s">
        <v>241</v>
      </c>
      <c r="H56">
        <v>7</v>
      </c>
    </row>
    <row r="57" spans="1:8" ht="15.6" customHeight="1" x14ac:dyDescent="0.3">
      <c r="A57" t="s">
        <v>5772</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10110</v>
      </c>
      <c r="B64" s="36" t="s">
        <v>69</v>
      </c>
      <c r="C64" s="36" t="s">
        <v>10111</v>
      </c>
      <c r="D64" s="36" t="s">
        <v>311</v>
      </c>
      <c r="E64" s="36" t="s">
        <v>26</v>
      </c>
      <c r="F64" s="36" t="s">
        <v>10112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10115</v>
      </c>
      <c r="B68" s="44" t="s">
        <v>366</v>
      </c>
      <c r="C68" t="s">
        <v>10114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10088</v>
      </c>
      <c r="B70" t="s">
        <v>10088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206" activePane="bottomLeft"/>
      <selection sqref="A1:XFD1048576"/>
      <selection pane="topRight" activeCell="M1" sqref="M1:M1048576"/>
      <selection pane="bottomLeft" activeCell="A217" sqref="A217"/>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10131</v>
      </c>
      <c r="L11" s="24" t="s">
        <v>468</v>
      </c>
      <c r="M11" s="24">
        <v>3</v>
      </c>
      <c r="N11" s="23" t="s">
        <v>458</v>
      </c>
    </row>
    <row r="12" spans="1:14" ht="15.6" customHeight="1" x14ac:dyDescent="0.35">
      <c r="A12" s="24" t="s">
        <v>470</v>
      </c>
      <c r="B12" s="24" t="s">
        <v>471</v>
      </c>
      <c r="C12" s="24" t="s">
        <v>472</v>
      </c>
      <c r="E12" s="24" t="s">
        <v>10132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10133</v>
      </c>
      <c r="L17" s="24" t="s">
        <v>509</v>
      </c>
      <c r="M17" s="24">
        <v>9</v>
      </c>
      <c r="N17" s="23" t="s">
        <v>458</v>
      </c>
    </row>
    <row r="18" spans="1:14" ht="15.6" customHeight="1" x14ac:dyDescent="0.35">
      <c r="A18" s="24" t="s">
        <v>510</v>
      </c>
      <c r="B18" s="24" t="s">
        <v>511</v>
      </c>
      <c r="C18" s="24" t="s">
        <v>512</v>
      </c>
      <c r="E18" s="24" t="s">
        <v>10134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7547</v>
      </c>
      <c r="F22" s="31" t="s">
        <v>7551</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10135</v>
      </c>
      <c r="L29" s="24" t="s">
        <v>572</v>
      </c>
      <c r="M29" s="24">
        <v>5</v>
      </c>
      <c r="N29" s="23" t="s">
        <v>415</v>
      </c>
    </row>
    <row r="30" spans="1:14" ht="15.6" customHeight="1" x14ac:dyDescent="0.35">
      <c r="A30" s="24" t="s">
        <v>573</v>
      </c>
      <c r="B30" s="24" t="s">
        <v>574</v>
      </c>
      <c r="C30" s="24" t="s">
        <v>575</v>
      </c>
      <c r="E30" s="24" t="s">
        <v>10136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9683</v>
      </c>
      <c r="B34" s="24" t="s">
        <v>589</v>
      </c>
      <c r="C34" s="24" t="s">
        <v>590</v>
      </c>
      <c r="E34" s="7" t="s">
        <v>9684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9435</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9668</v>
      </c>
      <c r="G54" s="7" t="s">
        <v>9669</v>
      </c>
      <c r="H54" s="7" t="s">
        <v>9670</v>
      </c>
      <c r="I54" s="7" t="s">
        <v>9671</v>
      </c>
      <c r="J54" s="7" t="s">
        <v>9672</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9631</v>
      </c>
      <c r="B68" s="24" t="s">
        <v>741</v>
      </c>
      <c r="C68" s="24" t="s">
        <v>742</v>
      </c>
      <c r="E68" s="31" t="s">
        <v>10116</v>
      </c>
      <c r="F68" s="31"/>
      <c r="G68" s="31"/>
      <c r="H68" s="31"/>
      <c r="I68" s="31"/>
      <c r="J68" s="31"/>
      <c r="M68" s="24">
        <v>10</v>
      </c>
      <c r="N68" s="23" t="s">
        <v>415</v>
      </c>
    </row>
    <row r="69" spans="1:14" ht="15.6" customHeight="1" x14ac:dyDescent="0.35">
      <c r="A69" s="24" t="s">
        <v>9472</v>
      </c>
      <c r="B69" s="24" t="s">
        <v>743</v>
      </c>
      <c r="C69" s="24" t="s">
        <v>744</v>
      </c>
      <c r="E69" s="24" t="s">
        <v>10138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10139</v>
      </c>
      <c r="L71" s="24" t="s">
        <v>751</v>
      </c>
      <c r="M71" s="24">
        <v>13</v>
      </c>
      <c r="N71" s="23" t="s">
        <v>415</v>
      </c>
    </row>
    <row r="72" spans="1:14" ht="15.6" customHeight="1" x14ac:dyDescent="0.35">
      <c r="A72" s="24" t="s">
        <v>753</v>
      </c>
      <c r="B72" s="24" t="s">
        <v>754</v>
      </c>
      <c r="C72" s="24" t="s">
        <v>755</v>
      </c>
      <c r="E72" s="31" t="s">
        <v>9441</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10140</v>
      </c>
      <c r="L74" s="24" t="s">
        <v>761</v>
      </c>
      <c r="M74" s="24">
        <v>16</v>
      </c>
      <c r="N74" s="23" t="s">
        <v>415</v>
      </c>
    </row>
    <row r="75" spans="1:14" ht="15.6" customHeight="1" x14ac:dyDescent="0.35">
      <c r="A75" s="24" t="s">
        <v>10035</v>
      </c>
      <c r="B75" s="24" t="s">
        <v>10036</v>
      </c>
      <c r="C75" s="24" t="s">
        <v>763</v>
      </c>
      <c r="E75" s="24" t="s">
        <v>10141</v>
      </c>
      <c r="L75" s="24" t="s">
        <v>10036</v>
      </c>
      <c r="M75" s="24">
        <v>17</v>
      </c>
      <c r="N75" s="23" t="s">
        <v>415</v>
      </c>
    </row>
    <row r="76" spans="1:14" ht="15.6" customHeight="1" x14ac:dyDescent="0.35">
      <c r="A76" s="24" t="s">
        <v>764</v>
      </c>
      <c r="B76" s="24" t="s">
        <v>765</v>
      </c>
      <c r="C76" s="24" t="s">
        <v>766</v>
      </c>
      <c r="E76" s="24" t="s">
        <v>10142</v>
      </c>
      <c r="L76" s="24" t="s">
        <v>765</v>
      </c>
      <c r="M76" s="24">
        <v>18</v>
      </c>
      <c r="N76" s="23" t="s">
        <v>415</v>
      </c>
    </row>
    <row r="77" spans="1:14" ht="15.6" customHeight="1" x14ac:dyDescent="0.35">
      <c r="A77" s="24" t="s">
        <v>767</v>
      </c>
      <c r="B77" s="24" t="s">
        <v>768</v>
      </c>
      <c r="C77" s="24" t="s">
        <v>769</v>
      </c>
      <c r="E77" s="24" t="s">
        <v>10143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10144</v>
      </c>
      <c r="L80" s="24" t="s">
        <v>770</v>
      </c>
      <c r="M80" s="24">
        <v>21</v>
      </c>
      <c r="N80" s="23" t="s">
        <v>415</v>
      </c>
    </row>
    <row r="81" spans="1:14" ht="15.6" customHeight="1" x14ac:dyDescent="0.35">
      <c r="A81" s="24" t="s">
        <v>782</v>
      </c>
      <c r="B81" s="24" t="s">
        <v>783</v>
      </c>
      <c r="C81" s="24" t="s">
        <v>784</v>
      </c>
      <c r="E81" s="24" t="s">
        <v>10145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9519</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9442</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9443</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10154</v>
      </c>
      <c r="L164" s="24" t="s">
        <v>1134</v>
      </c>
      <c r="M164" s="24">
        <v>6</v>
      </c>
      <c r="N164" s="23" t="s">
        <v>415</v>
      </c>
    </row>
    <row r="165" spans="1:14" ht="15.6" customHeight="1" x14ac:dyDescent="0.35">
      <c r="A165" s="24" t="s">
        <v>1135</v>
      </c>
      <c r="B165" s="24" t="s">
        <v>1136</v>
      </c>
      <c r="C165" s="24" t="s">
        <v>1137</v>
      </c>
      <c r="E165" s="24" t="s">
        <v>10155</v>
      </c>
      <c r="L165" s="24" t="s">
        <v>1138</v>
      </c>
      <c r="M165" s="24">
        <v>7</v>
      </c>
      <c r="N165" s="23" t="s">
        <v>415</v>
      </c>
    </row>
    <row r="166" spans="1:14" ht="15.6" customHeight="1" x14ac:dyDescent="0.35">
      <c r="A166" s="24" t="s">
        <v>1139</v>
      </c>
      <c r="B166" s="24" t="s">
        <v>1140</v>
      </c>
      <c r="C166" s="24" t="s">
        <v>1141</v>
      </c>
      <c r="E166" s="24" t="s">
        <v>10156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9479</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9663</v>
      </c>
      <c r="G204" s="7" t="s">
        <v>9664</v>
      </c>
      <c r="H204" s="7" t="s">
        <v>9665</v>
      </c>
      <c r="I204" s="7" t="s">
        <v>9666</v>
      </c>
      <c r="J204" s="7" t="s">
        <v>9667</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9420</v>
      </c>
      <c r="G206" s="31" t="s">
        <v>9421</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9653</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9448</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10159</v>
      </c>
      <c r="L251" s="24" t="s">
        <v>1536</v>
      </c>
      <c r="M251" s="24">
        <v>1</v>
      </c>
      <c r="N251" s="23" t="s">
        <v>415</v>
      </c>
    </row>
    <row r="252" spans="1:14" ht="15.6" customHeight="1" x14ac:dyDescent="0.35">
      <c r="A252" s="24" t="s">
        <v>1537</v>
      </c>
      <c r="B252" s="24" t="s">
        <v>1538</v>
      </c>
      <c r="C252" s="24" t="s">
        <v>1539</v>
      </c>
      <c r="E252" s="24" t="s">
        <v>10160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10162</v>
      </c>
      <c r="L256" s="24" t="s">
        <v>1553</v>
      </c>
      <c r="M256" s="24">
        <v>6</v>
      </c>
      <c r="N256" s="23" t="s">
        <v>415</v>
      </c>
    </row>
    <row r="257" spans="1:14" ht="15.6" customHeight="1" x14ac:dyDescent="0.35">
      <c r="A257" s="24" t="s">
        <v>1555</v>
      </c>
      <c r="B257" s="24" t="s">
        <v>1556</v>
      </c>
      <c r="C257" s="24" t="s">
        <v>1557</v>
      </c>
      <c r="E257" s="24" t="s">
        <v>10163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10376</v>
      </c>
      <c r="B303" s="24" t="s">
        <v>1821</v>
      </c>
      <c r="C303" s="24" t="s">
        <v>1822</v>
      </c>
      <c r="E303" s="7" t="s">
        <v>10378</v>
      </c>
      <c r="F303" s="31"/>
      <c r="G303" s="31"/>
      <c r="H303" s="31"/>
      <c r="I303" s="31"/>
      <c r="J303" s="31"/>
      <c r="M303" s="24">
        <v>10</v>
      </c>
      <c r="N303" s="23" t="s">
        <v>1434</v>
      </c>
    </row>
    <row r="304" spans="1:14" ht="16.2" x14ac:dyDescent="0.35">
      <c r="A304" s="24" t="s">
        <v>10377</v>
      </c>
      <c r="B304" s="24" t="s">
        <v>1823</v>
      </c>
      <c r="C304" s="24" t="s">
        <v>1824</v>
      </c>
      <c r="E304" s="7" t="s">
        <v>10379</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9415</v>
      </c>
      <c r="G310" s="31" t="s">
        <v>9416</v>
      </c>
      <c r="H310" s="31" t="s">
        <v>9417</v>
      </c>
      <c r="I310" s="31" t="s">
        <v>9418</v>
      </c>
      <c r="J310" s="31" t="s">
        <v>9419</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9602</v>
      </c>
      <c r="G320" s="7" t="s">
        <v>9603</v>
      </c>
      <c r="H320" s="7" t="s">
        <v>9604</v>
      </c>
      <c r="I320" s="7" t="s">
        <v>9605</v>
      </c>
      <c r="J320" s="7" t="s">
        <v>9606</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10165</v>
      </c>
      <c r="L334" s="24" t="s">
        <v>1959</v>
      </c>
      <c r="M334" s="24">
        <v>3</v>
      </c>
      <c r="N334" s="23" t="s">
        <v>415</v>
      </c>
    </row>
    <row r="335" spans="1:14" x14ac:dyDescent="0.35">
      <c r="A335" s="24" t="s">
        <v>1961</v>
      </c>
      <c r="B335" s="24" t="s">
        <v>1962</v>
      </c>
      <c r="C335" s="24" t="s">
        <v>1963</v>
      </c>
      <c r="E335" s="24" t="s">
        <v>10166</v>
      </c>
      <c r="L335" s="24" t="s">
        <v>1962</v>
      </c>
      <c r="M335" s="24">
        <v>4</v>
      </c>
      <c r="N335" s="23" t="s">
        <v>415</v>
      </c>
    </row>
    <row r="336" spans="1:14" x14ac:dyDescent="0.35">
      <c r="A336" s="24" t="s">
        <v>1964</v>
      </c>
      <c r="B336" s="24" t="s">
        <v>1965</v>
      </c>
      <c r="C336" s="24" t="s">
        <v>1966</v>
      </c>
      <c r="E336" s="24" t="s">
        <v>10167</v>
      </c>
      <c r="L336" s="24" t="s">
        <v>1965</v>
      </c>
      <c r="M336" s="24">
        <v>5</v>
      </c>
      <c r="N336" s="23" t="s">
        <v>415</v>
      </c>
    </row>
    <row r="337" spans="1:14" x14ac:dyDescent="0.35">
      <c r="A337" s="24" t="s">
        <v>1967</v>
      </c>
      <c r="B337" s="24" t="s">
        <v>1968</v>
      </c>
      <c r="C337" s="24" t="s">
        <v>1969</v>
      </c>
      <c r="E337" s="24" t="s">
        <v>10168</v>
      </c>
      <c r="L337" s="24" t="s">
        <v>1968</v>
      </c>
      <c r="M337" s="24">
        <v>6</v>
      </c>
      <c r="N337" s="23" t="s">
        <v>415</v>
      </c>
    </row>
    <row r="338" spans="1:14" x14ac:dyDescent="0.35">
      <c r="A338" s="24" t="s">
        <v>1970</v>
      </c>
      <c r="B338" s="24" t="s">
        <v>1971</v>
      </c>
      <c r="C338" s="24" t="s">
        <v>1972</v>
      </c>
      <c r="E338" s="24" t="s">
        <v>10169</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10170</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9396</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10171</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9520</v>
      </c>
      <c r="B387" s="24" t="s">
        <v>2198</v>
      </c>
      <c r="C387" s="24" t="s">
        <v>2199</v>
      </c>
      <c r="E387" s="7" t="s">
        <v>9587</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9409</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10127</v>
      </c>
      <c r="G424" s="31"/>
      <c r="H424" s="31"/>
      <c r="I424" s="31"/>
      <c r="J424" s="31"/>
      <c r="L424" s="24" t="s">
        <v>2395</v>
      </c>
      <c r="N424" s="23" t="s">
        <v>2304</v>
      </c>
    </row>
    <row r="425" spans="1:14" x14ac:dyDescent="0.35">
      <c r="A425" s="24" t="s">
        <v>2396</v>
      </c>
      <c r="B425" s="24" t="s">
        <v>2397</v>
      </c>
      <c r="C425" s="24" t="s">
        <v>2398</v>
      </c>
      <c r="E425" s="31" t="s">
        <v>2399</v>
      </c>
      <c r="F425" s="31" t="s">
        <v>10128</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9522</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9589</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10172</v>
      </c>
      <c r="L487" s="24" t="s">
        <v>2716</v>
      </c>
      <c r="N487" s="23" t="s">
        <v>415</v>
      </c>
    </row>
    <row r="488" spans="1:14" x14ac:dyDescent="0.35">
      <c r="A488" s="24" t="s">
        <v>2718</v>
      </c>
      <c r="B488" s="24" t="s">
        <v>2719</v>
      </c>
      <c r="C488" s="24" t="s">
        <v>2720</v>
      </c>
      <c r="E488" s="24" t="s">
        <v>10173</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9406</v>
      </c>
      <c r="B492" s="24" t="s">
        <v>2741</v>
      </c>
      <c r="C492" s="24" t="s">
        <v>2742</v>
      </c>
      <c r="E492" s="31" t="s">
        <v>9407</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10174</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10175</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10176</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10177</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10178</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10179</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10180</v>
      </c>
      <c r="L514" s="24" t="s">
        <v>2850</v>
      </c>
      <c r="M514" s="24">
        <v>4</v>
      </c>
      <c r="N514" s="23" t="s">
        <v>415</v>
      </c>
    </row>
    <row r="515" spans="1:14" x14ac:dyDescent="0.35">
      <c r="A515" s="24" t="s">
        <v>2852</v>
      </c>
      <c r="B515" s="24" t="s">
        <v>2853</v>
      </c>
      <c r="C515" s="24" t="s">
        <v>2854</v>
      </c>
      <c r="E515" s="31" t="s">
        <v>9444</v>
      </c>
      <c r="F515" s="31"/>
      <c r="G515" s="31"/>
      <c r="H515" s="31"/>
      <c r="I515" s="31"/>
      <c r="J515" s="31"/>
      <c r="L515" s="24" t="s">
        <v>2855</v>
      </c>
      <c r="M515" s="24">
        <v>5</v>
      </c>
      <c r="N515" s="23" t="s">
        <v>415</v>
      </c>
    </row>
    <row r="516" spans="1:14" x14ac:dyDescent="0.35">
      <c r="A516" s="24" t="s">
        <v>2856</v>
      </c>
      <c r="B516" s="24" t="s">
        <v>2857</v>
      </c>
      <c r="C516" s="24" t="s">
        <v>2858</v>
      </c>
      <c r="E516" s="24" t="s">
        <v>10181</v>
      </c>
      <c r="L516" s="24" t="s">
        <v>2857</v>
      </c>
      <c r="M516" s="24">
        <v>6</v>
      </c>
      <c r="N516" s="23" t="s">
        <v>415</v>
      </c>
    </row>
    <row r="517" spans="1:14" x14ac:dyDescent="0.35">
      <c r="A517" s="24" t="s">
        <v>2859</v>
      </c>
      <c r="B517" s="24" t="s">
        <v>2860</v>
      </c>
      <c r="C517" s="24" t="s">
        <v>2861</v>
      </c>
      <c r="E517" s="24" t="s">
        <v>10182</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10037</v>
      </c>
      <c r="E524" s="31" t="s">
        <v>9445</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10183</v>
      </c>
      <c r="L526" s="24" t="s">
        <v>2908</v>
      </c>
      <c r="M526" s="24">
        <v>2</v>
      </c>
      <c r="N526" s="23" t="s">
        <v>415</v>
      </c>
    </row>
    <row r="527" spans="1:14" x14ac:dyDescent="0.35">
      <c r="A527" s="24" t="s">
        <v>2910</v>
      </c>
      <c r="B527" s="24" t="s">
        <v>2911</v>
      </c>
      <c r="C527" s="24" t="s">
        <v>2912</v>
      </c>
      <c r="E527" s="24" t="s">
        <v>10184</v>
      </c>
      <c r="L527" s="24" t="s">
        <v>2913</v>
      </c>
      <c r="M527" s="24">
        <v>3</v>
      </c>
      <c r="N527" s="23" t="s">
        <v>415</v>
      </c>
    </row>
    <row r="528" spans="1:14" x14ac:dyDescent="0.35">
      <c r="A528" s="24" t="s">
        <v>2914</v>
      </c>
      <c r="B528" s="24" t="s">
        <v>2915</v>
      </c>
      <c r="C528" s="24" t="s">
        <v>2916</v>
      </c>
      <c r="E528" s="24" t="s">
        <v>10185</v>
      </c>
      <c r="F528" s="31" t="s">
        <v>2917</v>
      </c>
      <c r="L528" s="24" t="s">
        <v>2915</v>
      </c>
      <c r="M528" s="24">
        <v>4</v>
      </c>
      <c r="N528" s="23" t="s">
        <v>415</v>
      </c>
    </row>
    <row r="529" spans="1:14" x14ac:dyDescent="0.35">
      <c r="A529" s="24" t="s">
        <v>2918</v>
      </c>
      <c r="B529" s="24" t="s">
        <v>2919</v>
      </c>
      <c r="C529" s="24" t="s">
        <v>10038</v>
      </c>
      <c r="E529" s="24" t="s">
        <v>10186</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10187</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10188</v>
      </c>
      <c r="L537" s="24" t="s">
        <v>2949</v>
      </c>
      <c r="M537" s="24">
        <v>3</v>
      </c>
      <c r="N537" s="23" t="s">
        <v>415</v>
      </c>
    </row>
    <row r="538" spans="1:14" x14ac:dyDescent="0.35">
      <c r="A538" s="24" t="s">
        <v>2951</v>
      </c>
      <c r="B538" s="24" t="s">
        <v>2952</v>
      </c>
      <c r="C538" s="24" t="s">
        <v>2953</v>
      </c>
      <c r="E538" s="24" t="s">
        <v>10189</v>
      </c>
      <c r="L538" s="24" t="s">
        <v>2952</v>
      </c>
      <c r="M538" s="24">
        <v>4</v>
      </c>
      <c r="N538" s="23" t="s">
        <v>415</v>
      </c>
    </row>
    <row r="539" spans="1:14" x14ac:dyDescent="0.35">
      <c r="A539" s="24" t="s">
        <v>2954</v>
      </c>
      <c r="B539" s="24" t="s">
        <v>2955</v>
      </c>
      <c r="C539" s="24" t="s">
        <v>2956</v>
      </c>
      <c r="E539" s="24" t="s">
        <v>10190</v>
      </c>
      <c r="L539" s="24" t="s">
        <v>2955</v>
      </c>
      <c r="M539" s="24">
        <v>5</v>
      </c>
      <c r="N539" s="23" t="s">
        <v>415</v>
      </c>
    </row>
    <row r="540" spans="1:14" x14ac:dyDescent="0.35">
      <c r="A540" s="24" t="s">
        <v>2957</v>
      </c>
      <c r="B540" s="24" t="s">
        <v>2958</v>
      </c>
      <c r="C540" s="24" t="s">
        <v>2959</v>
      </c>
      <c r="E540" s="24" t="s">
        <v>10191</v>
      </c>
      <c r="L540" s="24" t="s">
        <v>2958</v>
      </c>
      <c r="M540" s="24">
        <v>6</v>
      </c>
      <c r="N540" s="23" t="s">
        <v>415</v>
      </c>
    </row>
    <row r="541" spans="1:14" x14ac:dyDescent="0.35">
      <c r="A541" s="24" t="s">
        <v>9642</v>
      </c>
      <c r="B541" s="24" t="s">
        <v>9643</v>
      </c>
      <c r="C541" s="24" t="s">
        <v>2960</v>
      </c>
      <c r="E541" s="24" t="s">
        <v>10192</v>
      </c>
      <c r="L541" s="24" t="s">
        <v>2961</v>
      </c>
      <c r="M541" s="24">
        <v>7</v>
      </c>
      <c r="N541" s="23" t="s">
        <v>415</v>
      </c>
    </row>
    <row r="542" spans="1:14" x14ac:dyDescent="0.35">
      <c r="A542" s="24" t="s">
        <v>9641</v>
      </c>
      <c r="B542" s="24" t="s">
        <v>9644</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10193</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9446</v>
      </c>
      <c r="F553" s="31"/>
      <c r="G553" s="31"/>
      <c r="H553" s="31"/>
      <c r="I553" s="31"/>
      <c r="J553" s="31"/>
      <c r="L553" s="24" t="s">
        <v>3029</v>
      </c>
      <c r="M553" s="24">
        <v>1</v>
      </c>
      <c r="N553" s="23" t="s">
        <v>458</v>
      </c>
    </row>
    <row r="554" spans="1:14" x14ac:dyDescent="0.35">
      <c r="A554" s="24" t="s">
        <v>3031</v>
      </c>
      <c r="B554" s="24" t="s">
        <v>3032</v>
      </c>
      <c r="C554" s="24" t="s">
        <v>3033</v>
      </c>
      <c r="E554" s="31" t="s">
        <v>9437</v>
      </c>
      <c r="F554" s="31" t="s">
        <v>9438</v>
      </c>
      <c r="G554" s="31" t="s">
        <v>9439</v>
      </c>
      <c r="H554" s="31" t="s">
        <v>9440</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10043</v>
      </c>
      <c r="G556" s="31"/>
      <c r="H556" s="31"/>
      <c r="I556" s="31"/>
      <c r="J556" s="31"/>
      <c r="M556" s="24">
        <v>4</v>
      </c>
      <c r="N556" s="23" t="s">
        <v>458</v>
      </c>
    </row>
    <row r="557" spans="1:14" x14ac:dyDescent="0.35">
      <c r="A557" s="24" t="s">
        <v>3042</v>
      </c>
      <c r="B557" s="24" t="s">
        <v>3043</v>
      </c>
      <c r="C557" s="24" t="s">
        <v>3044</v>
      </c>
      <c r="E557" s="31" t="s">
        <v>9436</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9395</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10194</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10195</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10196</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10197</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10198</v>
      </c>
      <c r="L597" s="24" t="s">
        <v>3201</v>
      </c>
      <c r="M597" s="24">
        <v>7</v>
      </c>
      <c r="N597" s="23" t="s">
        <v>415</v>
      </c>
    </row>
    <row r="598" spans="1:14" x14ac:dyDescent="0.35">
      <c r="A598" s="24" t="s">
        <v>3203</v>
      </c>
      <c r="B598" s="24" t="s">
        <v>3204</v>
      </c>
      <c r="C598" s="24" t="s">
        <v>3205</v>
      </c>
      <c r="E598" s="24" t="s">
        <v>10199</v>
      </c>
      <c r="L598" s="24" t="s">
        <v>3204</v>
      </c>
      <c r="M598" s="24">
        <v>0</v>
      </c>
      <c r="N598" s="23" t="s">
        <v>415</v>
      </c>
    </row>
    <row r="599" spans="1:14" x14ac:dyDescent="0.35">
      <c r="A599" s="24" t="s">
        <v>3206</v>
      </c>
      <c r="B599" s="24" t="s">
        <v>3207</v>
      </c>
      <c r="C599" s="24" t="s">
        <v>3208</v>
      </c>
      <c r="E599" s="24" t="s">
        <v>10200</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10201</v>
      </c>
      <c r="L602" s="24" t="s">
        <v>3219</v>
      </c>
      <c r="M602" s="24">
        <v>1</v>
      </c>
      <c r="N602" s="23" t="s">
        <v>415</v>
      </c>
    </row>
    <row r="603" spans="1:14" x14ac:dyDescent="0.35">
      <c r="A603" s="24" t="s">
        <v>3221</v>
      </c>
      <c r="B603" s="24" t="s">
        <v>3222</v>
      </c>
      <c r="C603" s="24" t="s">
        <v>3223</v>
      </c>
      <c r="E603" s="24" t="s">
        <v>10202</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10203</v>
      </c>
      <c r="L607" s="24" t="s">
        <v>3238</v>
      </c>
      <c r="M607" s="24">
        <v>2</v>
      </c>
      <c r="N607" s="23" t="s">
        <v>415</v>
      </c>
    </row>
    <row r="608" spans="1:14" x14ac:dyDescent="0.35">
      <c r="A608" s="24" t="s">
        <v>3240</v>
      </c>
      <c r="B608" s="24" t="s">
        <v>3241</v>
      </c>
      <c r="C608" s="24" t="s">
        <v>3242</v>
      </c>
      <c r="E608" s="24" t="s">
        <v>10204</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10205</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10206</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10207</v>
      </c>
      <c r="L617" s="24" t="s">
        <v>3282</v>
      </c>
      <c r="M617" s="24">
        <v>1</v>
      </c>
      <c r="N617" s="23" t="s">
        <v>415</v>
      </c>
    </row>
    <row r="618" spans="1:14" x14ac:dyDescent="0.35">
      <c r="A618" s="24" t="s">
        <v>3283</v>
      </c>
      <c r="B618" s="24" t="s">
        <v>3284</v>
      </c>
      <c r="C618" s="24" t="s">
        <v>3285</v>
      </c>
      <c r="E618" s="24" t="s">
        <v>10208</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10209</v>
      </c>
      <c r="L620" s="24" t="s">
        <v>3299</v>
      </c>
      <c r="M620" s="24">
        <v>3</v>
      </c>
      <c r="N620" s="23" t="s">
        <v>415</v>
      </c>
    </row>
    <row r="621" spans="1:14" x14ac:dyDescent="0.35">
      <c r="A621" s="24" t="s">
        <v>9449</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10210</v>
      </c>
      <c r="L622" s="24" t="s">
        <v>3307</v>
      </c>
      <c r="M622" s="24">
        <v>5</v>
      </c>
      <c r="N622" s="23" t="s">
        <v>415</v>
      </c>
    </row>
    <row r="623" spans="1:14" x14ac:dyDescent="0.35">
      <c r="A623" s="24" t="s">
        <v>3308</v>
      </c>
      <c r="B623" s="24" t="s">
        <v>3309</v>
      </c>
      <c r="C623" s="24" t="s">
        <v>3310</v>
      </c>
      <c r="E623" s="24" t="s">
        <v>10211</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10212</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10213</v>
      </c>
      <c r="L629" s="24" t="s">
        <v>3340</v>
      </c>
      <c r="M629" s="24">
        <v>2</v>
      </c>
      <c r="N629" s="23" t="s">
        <v>415</v>
      </c>
    </row>
    <row r="630" spans="1:14" x14ac:dyDescent="0.35">
      <c r="A630" s="24" t="s">
        <v>3342</v>
      </c>
      <c r="B630" s="24" t="s">
        <v>3343</v>
      </c>
      <c r="C630" s="24" t="s">
        <v>3344</v>
      </c>
      <c r="E630" s="24" t="s">
        <v>10214</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10084</v>
      </c>
      <c r="H632" s="7" t="s">
        <v>10085</v>
      </c>
      <c r="I632" s="7" t="s">
        <v>10086</v>
      </c>
      <c r="J632" s="7" t="s">
        <v>10087</v>
      </c>
      <c r="L632" s="24" t="s">
        <v>3350</v>
      </c>
      <c r="M632" s="24">
        <v>5</v>
      </c>
      <c r="N632" s="23" t="s">
        <v>415</v>
      </c>
    </row>
    <row r="633" spans="1:14" ht="16.2" x14ac:dyDescent="0.35">
      <c r="A633" s="24" t="s">
        <v>10076</v>
      </c>
      <c r="B633" s="24" t="s">
        <v>10077</v>
      </c>
      <c r="C633" s="24" t="s">
        <v>3354</v>
      </c>
      <c r="E633" s="7" t="s">
        <v>10078</v>
      </c>
      <c r="F633" s="7" t="s">
        <v>10079</v>
      </c>
      <c r="G633" s="7" t="s">
        <v>10080</v>
      </c>
      <c r="H633" s="7" t="s">
        <v>10081</v>
      </c>
      <c r="I633" s="7" t="s">
        <v>10082</v>
      </c>
      <c r="J633" s="7" t="s">
        <v>10083</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10215</v>
      </c>
      <c r="L636" s="24" t="s">
        <v>3364</v>
      </c>
      <c r="M636" s="24">
        <v>9</v>
      </c>
      <c r="N636" s="23" t="s">
        <v>415</v>
      </c>
    </row>
    <row r="637" spans="1:14" x14ac:dyDescent="0.35">
      <c r="A637" s="24" t="s">
        <v>3366</v>
      </c>
      <c r="B637" s="24" t="s">
        <v>3367</v>
      </c>
      <c r="C637" s="24" t="s">
        <v>3368</v>
      </c>
      <c r="E637" s="31" t="s">
        <v>10216</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10217</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9478</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9505</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9677</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9487</v>
      </c>
      <c r="B674" s="24" t="s">
        <v>3569</v>
      </c>
      <c r="C674" s="24" t="s">
        <v>3570</v>
      </c>
      <c r="E674" s="31" t="s">
        <v>9488</v>
      </c>
      <c r="F674" s="31" t="s">
        <v>9489</v>
      </c>
      <c r="G674" s="31" t="s">
        <v>9490</v>
      </c>
      <c r="H674" s="31" t="s">
        <v>9491</v>
      </c>
      <c r="I674" s="31" t="s">
        <v>9492</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9473</v>
      </c>
      <c r="B685" s="24" t="s">
        <v>3632</v>
      </c>
      <c r="C685" s="24" t="s">
        <v>3633</v>
      </c>
      <c r="E685" s="31" t="s">
        <v>2324</v>
      </c>
      <c r="F685" s="31" t="s">
        <v>9474</v>
      </c>
      <c r="G685" s="31" t="s">
        <v>9475</v>
      </c>
      <c r="H685" s="31" t="s">
        <v>9476</v>
      </c>
      <c r="I685" s="31" t="s">
        <v>9477</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10219</v>
      </c>
      <c r="G704" s="7" t="s">
        <v>10220</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10130</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9515</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9585</v>
      </c>
      <c r="B735" s="24" t="s">
        <v>3918</v>
      </c>
      <c r="C735" s="24" t="s">
        <v>3919</v>
      </c>
      <c r="E735" s="31" t="s">
        <v>10125</v>
      </c>
      <c r="F735" s="31" t="s">
        <v>10126</v>
      </c>
      <c r="G735" s="31"/>
      <c r="H735" s="31"/>
      <c r="I735" s="31"/>
      <c r="J735" s="31"/>
      <c r="N735" s="23" t="s">
        <v>871</v>
      </c>
    </row>
    <row r="736" spans="1:14" x14ac:dyDescent="0.35">
      <c r="A736" s="24" t="s">
        <v>3920</v>
      </c>
      <c r="B736" s="24" t="s">
        <v>3921</v>
      </c>
      <c r="C736" s="24" t="s">
        <v>3922</v>
      </c>
      <c r="E736" s="31" t="s">
        <v>3923</v>
      </c>
      <c r="F736" s="31" t="s">
        <v>10123</v>
      </c>
      <c r="G736" s="31" t="s">
        <v>10124</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9525</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9614</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9535</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9400</v>
      </c>
      <c r="B822" s="24" t="s">
        <v>9399</v>
      </c>
      <c r="C822" s="24" t="s">
        <v>4415</v>
      </c>
      <c r="E822" s="31" t="s">
        <v>9401</v>
      </c>
      <c r="F822" s="31" t="s">
        <v>9402</v>
      </c>
      <c r="G822" s="31" t="s">
        <v>9403</v>
      </c>
      <c r="H822" s="31" t="s">
        <v>9404</v>
      </c>
      <c r="I822" s="31" t="s">
        <v>9405</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x14ac:dyDescent="0.35">
      <c r="A856" s="24" t="s">
        <v>4600</v>
      </c>
      <c r="B856" s="24" t="s">
        <v>4601</v>
      </c>
      <c r="C856" s="24" t="s">
        <v>4602</v>
      </c>
      <c r="E856" s="31" t="s">
        <v>4603</v>
      </c>
      <c r="F856" s="31" t="s">
        <v>4604</v>
      </c>
      <c r="G856" s="31" t="s">
        <v>4605</v>
      </c>
      <c r="H856" s="31" t="s">
        <v>4606</v>
      </c>
      <c r="I856" s="31" t="s">
        <v>4607</v>
      </c>
      <c r="J856" s="31"/>
      <c r="N856" s="23" t="s">
        <v>415</v>
      </c>
    </row>
    <row r="857" spans="1:14" x14ac:dyDescent="0.35">
      <c r="A857" s="24" t="s">
        <v>4608</v>
      </c>
      <c r="B857" s="24" t="s">
        <v>4609</v>
      </c>
      <c r="C857" s="24" t="s">
        <v>4610</v>
      </c>
      <c r="E857" s="31" t="s">
        <v>4611</v>
      </c>
      <c r="F857" s="31" t="s">
        <v>4612</v>
      </c>
      <c r="G857" s="31" t="s">
        <v>4613</v>
      </c>
      <c r="H857" s="31" t="s">
        <v>4614</v>
      </c>
      <c r="I857" s="31" t="s">
        <v>4615</v>
      </c>
      <c r="J857" s="31"/>
      <c r="N857" s="23" t="s">
        <v>415</v>
      </c>
    </row>
    <row r="858" spans="1:14" x14ac:dyDescent="0.35">
      <c r="A858" s="24" t="s">
        <v>4616</v>
      </c>
      <c r="B858" s="24" t="s">
        <v>4617</v>
      </c>
      <c r="C858" s="24" t="s">
        <v>4618</v>
      </c>
      <c r="E858" s="31" t="s">
        <v>4619</v>
      </c>
      <c r="F858" s="31" t="s">
        <v>4620</v>
      </c>
      <c r="G858" s="31" t="s">
        <v>4621</v>
      </c>
      <c r="H858" s="31" t="s">
        <v>731</v>
      </c>
      <c r="I858" s="31" t="s">
        <v>805</v>
      </c>
      <c r="J858" s="31"/>
      <c r="N858" s="23" t="s">
        <v>415</v>
      </c>
    </row>
    <row r="859" spans="1:14" x14ac:dyDescent="0.35">
      <c r="A859" s="24" t="s">
        <v>4622</v>
      </c>
      <c r="B859" s="24" t="s">
        <v>4623</v>
      </c>
      <c r="C859" s="24" t="s">
        <v>4624</v>
      </c>
      <c r="E859" s="31" t="s">
        <v>4625</v>
      </c>
      <c r="F859" s="31"/>
      <c r="G859" s="31"/>
      <c r="H859" s="31"/>
      <c r="I859" s="31"/>
      <c r="J859" s="31"/>
      <c r="N859" s="23" t="s">
        <v>415</v>
      </c>
    </row>
    <row r="860" spans="1:14" x14ac:dyDescent="0.35">
      <c r="A860" s="24" t="s">
        <v>4626</v>
      </c>
      <c r="B860" s="24" t="s">
        <v>4627</v>
      </c>
      <c r="C860" s="24" t="s">
        <v>4628</v>
      </c>
      <c r="E860" s="31" t="s">
        <v>4629</v>
      </c>
      <c r="F860" s="31"/>
      <c r="G860" s="31"/>
      <c r="H860" s="31"/>
      <c r="I860" s="31"/>
      <c r="J860" s="31"/>
      <c r="N860" s="23" t="s">
        <v>415</v>
      </c>
    </row>
    <row r="861" spans="1:14" x14ac:dyDescent="0.35">
      <c r="A861" s="24" t="s">
        <v>4630</v>
      </c>
      <c r="B861" s="24" t="s">
        <v>4631</v>
      </c>
      <c r="C861" s="24" t="s">
        <v>4632</v>
      </c>
      <c r="E861" s="31" t="s">
        <v>4633</v>
      </c>
      <c r="F861" s="31" t="s">
        <v>4634</v>
      </c>
      <c r="G861" s="31"/>
      <c r="H861" s="31"/>
      <c r="I861" s="31"/>
      <c r="J861" s="31"/>
      <c r="N861" s="23" t="s">
        <v>415</v>
      </c>
    </row>
    <row r="862" spans="1:14" x14ac:dyDescent="0.35">
      <c r="A862" s="24" t="s">
        <v>4637</v>
      </c>
      <c r="B862" s="24" t="s">
        <v>4638</v>
      </c>
      <c r="C862" s="24" t="s">
        <v>4639</v>
      </c>
      <c r="E862" s="31" t="s">
        <v>4640</v>
      </c>
      <c r="F862" s="31"/>
      <c r="G862" s="31"/>
      <c r="H862" s="31"/>
      <c r="I862" s="31"/>
      <c r="J862" s="31"/>
      <c r="N862" s="23" t="s">
        <v>415</v>
      </c>
    </row>
    <row r="863" spans="1:14" x14ac:dyDescent="0.35">
      <c r="A863" s="24" t="s">
        <v>4641</v>
      </c>
      <c r="B863" s="24" t="s">
        <v>4642</v>
      </c>
      <c r="C863" s="24" t="s">
        <v>4643</v>
      </c>
      <c r="E863" s="31" t="s">
        <v>4644</v>
      </c>
      <c r="F863" s="31"/>
      <c r="G863" s="31"/>
      <c r="H863" s="31"/>
      <c r="I863" s="31"/>
      <c r="J863" s="31"/>
      <c r="N863" s="23" t="s">
        <v>415</v>
      </c>
    </row>
    <row r="864" spans="1:14" x14ac:dyDescent="0.35">
      <c r="A864" s="24" t="s">
        <v>4645</v>
      </c>
      <c r="B864" s="24" t="s">
        <v>4646</v>
      </c>
      <c r="C864" s="24" t="s">
        <v>4647</v>
      </c>
      <c r="E864" s="31" t="s">
        <v>4648</v>
      </c>
      <c r="F864" s="31"/>
      <c r="G864" s="31"/>
      <c r="H864" s="31"/>
      <c r="I864" s="31"/>
      <c r="J864" s="31"/>
      <c r="N864" s="23" t="s">
        <v>415</v>
      </c>
    </row>
    <row r="865" spans="1:14" x14ac:dyDescent="0.35">
      <c r="A865" s="24" t="s">
        <v>4649</v>
      </c>
      <c r="B865" s="24" t="s">
        <v>4650</v>
      </c>
      <c r="C865" s="24" t="s">
        <v>4651</v>
      </c>
      <c r="E865" s="31" t="s">
        <v>4652</v>
      </c>
      <c r="F865" s="31"/>
      <c r="G865" s="31"/>
      <c r="H865" s="31"/>
      <c r="I865" s="31"/>
      <c r="J865" s="31"/>
      <c r="N865" s="23" t="s">
        <v>415</v>
      </c>
    </row>
    <row r="866" spans="1:14" x14ac:dyDescent="0.35">
      <c r="A866" s="24" t="s">
        <v>4653</v>
      </c>
      <c r="B866" s="24" t="s">
        <v>4654</v>
      </c>
      <c r="C866" s="24" t="s">
        <v>4655</v>
      </c>
      <c r="E866" s="31" t="s">
        <v>4656</v>
      </c>
      <c r="F866" s="31"/>
      <c r="G866" s="31"/>
      <c r="H866" s="31"/>
      <c r="I866" s="31"/>
      <c r="J866" s="31"/>
      <c r="N866" s="23" t="s">
        <v>415</v>
      </c>
    </row>
    <row r="867" spans="1:14" x14ac:dyDescent="0.35">
      <c r="A867" s="24" t="s">
        <v>4657</v>
      </c>
      <c r="B867" s="24" t="s">
        <v>4658</v>
      </c>
      <c r="C867" s="24" t="s">
        <v>4659</v>
      </c>
      <c r="E867" s="31" t="s">
        <v>4660</v>
      </c>
      <c r="F867" s="31" t="s">
        <v>4661</v>
      </c>
      <c r="G867" s="31" t="s">
        <v>4662</v>
      </c>
      <c r="H867" s="31" t="s">
        <v>4663</v>
      </c>
      <c r="I867" s="31"/>
      <c r="J867" s="31"/>
      <c r="N867" s="23" t="s">
        <v>415</v>
      </c>
    </row>
    <row r="868" spans="1:14" x14ac:dyDescent="0.35">
      <c r="A868" s="24" t="s">
        <v>4664</v>
      </c>
      <c r="B868" s="24" t="s">
        <v>4665</v>
      </c>
      <c r="C868" s="24" t="s">
        <v>4666</v>
      </c>
      <c r="E868" s="31" t="s">
        <v>4667</v>
      </c>
      <c r="F868" s="31" t="s">
        <v>4668</v>
      </c>
      <c r="G868" s="31" t="s">
        <v>4669</v>
      </c>
      <c r="H868" s="31"/>
      <c r="I868" s="31"/>
      <c r="J868" s="31"/>
      <c r="N868" s="23" t="s">
        <v>415</v>
      </c>
    </row>
    <row r="869" spans="1:14" x14ac:dyDescent="0.35">
      <c r="A869" s="24" t="s">
        <v>4670</v>
      </c>
      <c r="B869" s="24" t="s">
        <v>4671</v>
      </c>
      <c r="C869" s="24" t="s">
        <v>4672</v>
      </c>
      <c r="E869" s="31" t="s">
        <v>4673</v>
      </c>
      <c r="F869" s="31" t="s">
        <v>4674</v>
      </c>
      <c r="G869" s="31" t="s">
        <v>4675</v>
      </c>
      <c r="H869" s="31" t="s">
        <v>4676</v>
      </c>
      <c r="I869" s="31" t="s">
        <v>4677</v>
      </c>
      <c r="J869" s="31"/>
      <c r="N869" s="23" t="s">
        <v>415</v>
      </c>
    </row>
    <row r="870" spans="1:14" x14ac:dyDescent="0.35">
      <c r="A870" s="24" t="s">
        <v>4678</v>
      </c>
      <c r="B870" s="24" t="s">
        <v>4679</v>
      </c>
      <c r="C870" s="24" t="s">
        <v>4680</v>
      </c>
      <c r="E870" s="31" t="s">
        <v>4681</v>
      </c>
      <c r="F870" s="31" t="s">
        <v>4682</v>
      </c>
      <c r="G870" s="31" t="s">
        <v>4683</v>
      </c>
      <c r="H870" s="31" t="s">
        <v>4684</v>
      </c>
      <c r="I870" s="31" t="s">
        <v>4685</v>
      </c>
      <c r="J870" s="31"/>
      <c r="N870" s="23" t="s">
        <v>415</v>
      </c>
    </row>
    <row r="871" spans="1:14" x14ac:dyDescent="0.35">
      <c r="A871" s="24" t="s">
        <v>4686</v>
      </c>
      <c r="B871" s="24" t="s">
        <v>4687</v>
      </c>
      <c r="C871" s="24" t="s">
        <v>4688</v>
      </c>
      <c r="E871" s="31" t="s">
        <v>4689</v>
      </c>
      <c r="F871" s="31"/>
      <c r="G871" s="31"/>
      <c r="H871" s="31"/>
      <c r="I871" s="31"/>
      <c r="J871" s="31"/>
      <c r="N871" s="23" t="s">
        <v>871</v>
      </c>
    </row>
    <row r="872" spans="1:14" x14ac:dyDescent="0.35">
      <c r="A872" s="24" t="s">
        <v>69</v>
      </c>
      <c r="B872" s="24" t="s">
        <v>4690</v>
      </c>
      <c r="C872" s="24" t="s">
        <v>4691</v>
      </c>
      <c r="E872" s="31" t="s">
        <v>4692</v>
      </c>
      <c r="F872" s="31"/>
      <c r="G872" s="31"/>
      <c r="H872" s="31"/>
      <c r="I872" s="31"/>
      <c r="J872" s="31"/>
      <c r="N872" s="23" t="s">
        <v>415</v>
      </c>
    </row>
    <row r="873" spans="1:14" x14ac:dyDescent="0.35">
      <c r="A873" s="24" t="s">
        <v>4693</v>
      </c>
      <c r="B873" s="24" t="s">
        <v>4694</v>
      </c>
      <c r="C873" s="24" t="s">
        <v>4695</v>
      </c>
      <c r="E873" s="31" t="s">
        <v>4696</v>
      </c>
      <c r="F873" s="31"/>
      <c r="G873" s="31"/>
      <c r="H873" s="31"/>
      <c r="I873" s="31"/>
      <c r="J873" s="31"/>
      <c r="N873" s="23" t="s">
        <v>415</v>
      </c>
    </row>
    <row r="874" spans="1:14" x14ac:dyDescent="0.35">
      <c r="A874" s="24" t="s">
        <v>4697</v>
      </c>
      <c r="B874" s="24" t="s">
        <v>4698</v>
      </c>
      <c r="C874" s="24" t="s">
        <v>4699</v>
      </c>
      <c r="E874" s="31" t="s">
        <v>4700</v>
      </c>
      <c r="F874" s="31" t="s">
        <v>4701</v>
      </c>
      <c r="G874" s="31" t="s">
        <v>4702</v>
      </c>
      <c r="H874" s="31" t="s">
        <v>4703</v>
      </c>
      <c r="I874" s="31" t="s">
        <v>4704</v>
      </c>
      <c r="J874" s="31"/>
      <c r="N874" s="23" t="s">
        <v>415</v>
      </c>
    </row>
    <row r="875" spans="1:14" x14ac:dyDescent="0.35">
      <c r="A875" s="24" t="s">
        <v>4705</v>
      </c>
      <c r="B875" s="24" t="s">
        <v>4706</v>
      </c>
      <c r="C875" s="24" t="s">
        <v>4707</v>
      </c>
      <c r="E875" s="31" t="s">
        <v>4708</v>
      </c>
      <c r="F875" s="31" t="s">
        <v>4709</v>
      </c>
      <c r="G875" s="31" t="s">
        <v>4710</v>
      </c>
      <c r="H875" s="31"/>
      <c r="I875" s="31"/>
      <c r="J875" s="31"/>
      <c r="N875" s="23" t="s">
        <v>415</v>
      </c>
    </row>
    <row r="876" spans="1:14" x14ac:dyDescent="0.35">
      <c r="A876" s="24" t="s">
        <v>4711</v>
      </c>
      <c r="B876" s="24" t="s">
        <v>4712</v>
      </c>
      <c r="C876" s="24" t="s">
        <v>4713</v>
      </c>
      <c r="E876" s="31" t="s">
        <v>4714</v>
      </c>
      <c r="F876" s="31"/>
      <c r="G876" s="31"/>
      <c r="H876" s="31"/>
      <c r="I876" s="31"/>
      <c r="J876" s="31"/>
      <c r="N876" s="23" t="s">
        <v>415</v>
      </c>
    </row>
    <row r="877" spans="1:14" x14ac:dyDescent="0.35">
      <c r="A877" s="24" t="s">
        <v>4715</v>
      </c>
      <c r="B877" s="24" t="s">
        <v>4716</v>
      </c>
      <c r="C877" s="24" t="s">
        <v>4717</v>
      </c>
      <c r="E877" s="31" t="s">
        <v>4718</v>
      </c>
      <c r="F877" s="31"/>
      <c r="G877" s="31"/>
      <c r="H877" s="31"/>
      <c r="I877" s="31"/>
      <c r="J877" s="31"/>
      <c r="N877" s="23" t="s">
        <v>415</v>
      </c>
    </row>
    <row r="878" spans="1:14" x14ac:dyDescent="0.35">
      <c r="A878" s="24" t="s">
        <v>4719</v>
      </c>
      <c r="B878" s="24" t="s">
        <v>4720</v>
      </c>
      <c r="C878" s="24" t="s">
        <v>4721</v>
      </c>
      <c r="E878" s="31" t="s">
        <v>4722</v>
      </c>
      <c r="F878" s="31" t="s">
        <v>4723</v>
      </c>
      <c r="G878" s="31" t="s">
        <v>4724</v>
      </c>
      <c r="H878" s="31" t="s">
        <v>4725</v>
      </c>
      <c r="I878" s="31" t="s">
        <v>4726</v>
      </c>
      <c r="J878" s="31"/>
      <c r="N878" s="23" t="s">
        <v>871</v>
      </c>
    </row>
    <row r="879" spans="1:14" x14ac:dyDescent="0.35">
      <c r="A879" s="24" t="s">
        <v>4727</v>
      </c>
      <c r="B879" s="24" t="s">
        <v>4728</v>
      </c>
      <c r="C879" s="24" t="s">
        <v>4729</v>
      </c>
      <c r="E879" s="31" t="s">
        <v>4730</v>
      </c>
      <c r="F879" s="31" t="s">
        <v>4731</v>
      </c>
      <c r="G879" s="31" t="s">
        <v>4732</v>
      </c>
      <c r="H879" s="31"/>
      <c r="I879" s="31"/>
      <c r="J879" s="31"/>
      <c r="N879" s="23" t="s">
        <v>415</v>
      </c>
    </row>
    <row r="880" spans="1:14" x14ac:dyDescent="0.35">
      <c r="A880" s="24" t="s">
        <v>4733</v>
      </c>
      <c r="B880" s="24" t="s">
        <v>4734</v>
      </c>
      <c r="C880" s="24" t="s">
        <v>4735</v>
      </c>
      <c r="E880" s="31" t="s">
        <v>4736</v>
      </c>
      <c r="F880" s="31" t="s">
        <v>4737</v>
      </c>
      <c r="G880" s="31"/>
      <c r="H880" s="31"/>
      <c r="I880" s="31"/>
      <c r="J880" s="31"/>
      <c r="N880" s="23" t="s">
        <v>415</v>
      </c>
    </row>
    <row r="881" spans="1:14" x14ac:dyDescent="0.35">
      <c r="A881" s="24" t="s">
        <v>4738</v>
      </c>
      <c r="B881" s="24" t="s">
        <v>4739</v>
      </c>
      <c r="C881" s="24" t="s">
        <v>9408</v>
      </c>
      <c r="E881" s="31" t="s">
        <v>4740</v>
      </c>
      <c r="F881" s="31"/>
      <c r="G881" s="31"/>
      <c r="H881" s="31"/>
      <c r="I881" s="31"/>
      <c r="J881" s="31"/>
      <c r="N881" s="23" t="s">
        <v>415</v>
      </c>
    </row>
    <row r="882" spans="1:14" x14ac:dyDescent="0.35">
      <c r="A882" s="24" t="s">
        <v>4741</v>
      </c>
      <c r="B882" s="24" t="s">
        <v>4742</v>
      </c>
      <c r="C882" s="24" t="s">
        <v>4743</v>
      </c>
      <c r="E882" s="31" t="s">
        <v>4744</v>
      </c>
      <c r="F882" s="31"/>
      <c r="G882" s="31"/>
      <c r="H882" s="31"/>
      <c r="I882" s="31"/>
      <c r="J882" s="31"/>
      <c r="N882" s="23" t="s">
        <v>458</v>
      </c>
    </row>
    <row r="883" spans="1:14" x14ac:dyDescent="0.35">
      <c r="A883" s="24" t="s">
        <v>4745</v>
      </c>
      <c r="B883" s="24" t="s">
        <v>4746</v>
      </c>
      <c r="C883" s="24" t="s">
        <v>4747</v>
      </c>
      <c r="E883" s="31" t="s">
        <v>4748</v>
      </c>
      <c r="F883" s="31" t="s">
        <v>4749</v>
      </c>
      <c r="G883" s="31" t="s">
        <v>4750</v>
      </c>
      <c r="H883" s="31"/>
      <c r="I883" s="31"/>
      <c r="J883" s="31"/>
      <c r="N883" s="23" t="s">
        <v>1169</v>
      </c>
    </row>
    <row r="884" spans="1:14" x14ac:dyDescent="0.35">
      <c r="A884" s="24" t="s">
        <v>4751</v>
      </c>
      <c r="B884" s="24" t="s">
        <v>4752</v>
      </c>
      <c r="C884" s="24" t="s">
        <v>4753</v>
      </c>
      <c r="E884" s="31" t="s">
        <v>4754</v>
      </c>
      <c r="F884" s="31" t="s">
        <v>4755</v>
      </c>
      <c r="G884" s="31" t="s">
        <v>4756</v>
      </c>
      <c r="H884" s="31"/>
      <c r="I884" s="31"/>
      <c r="J884" s="31"/>
      <c r="N884" s="23" t="s">
        <v>1696</v>
      </c>
    </row>
    <row r="885" spans="1:14" x14ac:dyDescent="0.35">
      <c r="A885" s="24" t="s">
        <v>4757</v>
      </c>
      <c r="B885" s="24" t="s">
        <v>4758</v>
      </c>
      <c r="C885" s="24" t="s">
        <v>4759</v>
      </c>
      <c r="E885" s="31" t="s">
        <v>4760</v>
      </c>
      <c r="F885" s="31" t="s">
        <v>4761</v>
      </c>
      <c r="G885" s="31" t="s">
        <v>4762</v>
      </c>
      <c r="H885" s="31" t="s">
        <v>4763</v>
      </c>
      <c r="I885" s="31" t="s">
        <v>4764</v>
      </c>
      <c r="J885" s="31"/>
      <c r="N885" s="23" t="s">
        <v>415</v>
      </c>
    </row>
    <row r="886" spans="1:14" x14ac:dyDescent="0.35">
      <c r="A886" s="24" t="s">
        <v>4765</v>
      </c>
      <c r="B886" s="24" t="s">
        <v>4766</v>
      </c>
      <c r="C886" s="24" t="s">
        <v>4767</v>
      </c>
      <c r="E886" s="31" t="s">
        <v>4768</v>
      </c>
      <c r="F886" s="31" t="s">
        <v>4769</v>
      </c>
      <c r="G886" s="31"/>
      <c r="H886" s="31"/>
      <c r="I886" s="31"/>
      <c r="J886" s="31"/>
      <c r="N886" s="23" t="s">
        <v>415</v>
      </c>
    </row>
    <row r="887" spans="1:14" x14ac:dyDescent="0.35">
      <c r="A887" s="24" t="s">
        <v>4770</v>
      </c>
      <c r="B887" s="24" t="s">
        <v>4771</v>
      </c>
      <c r="C887" s="24" t="s">
        <v>4772</v>
      </c>
      <c r="E887" s="31" t="s">
        <v>4773</v>
      </c>
      <c r="F887" s="31"/>
      <c r="G887" s="31"/>
      <c r="H887" s="31"/>
      <c r="I887" s="31"/>
      <c r="J887" s="31"/>
      <c r="N887" s="23" t="s">
        <v>415</v>
      </c>
    </row>
    <row r="888" spans="1:14" x14ac:dyDescent="0.35">
      <c r="A888" s="24" t="s">
        <v>458</v>
      </c>
      <c r="B888" s="24" t="s">
        <v>4774</v>
      </c>
      <c r="C888" s="24" t="s">
        <v>4775</v>
      </c>
      <c r="E888" s="31" t="s">
        <v>4776</v>
      </c>
      <c r="F888" s="31"/>
      <c r="G888" s="31"/>
      <c r="H888" s="31"/>
      <c r="I888" s="31"/>
      <c r="J888" s="31"/>
      <c r="N888" s="23" t="s">
        <v>415</v>
      </c>
    </row>
    <row r="889" spans="1:14" x14ac:dyDescent="0.35">
      <c r="A889" s="24" t="s">
        <v>4777</v>
      </c>
      <c r="B889" s="24" t="s">
        <v>4778</v>
      </c>
      <c r="C889" s="24" t="s">
        <v>4779</v>
      </c>
      <c r="E889" s="31" t="s">
        <v>4780</v>
      </c>
      <c r="F889" s="31" t="s">
        <v>4781</v>
      </c>
      <c r="G889" s="31" t="s">
        <v>4782</v>
      </c>
      <c r="H889" s="31" t="s">
        <v>4783</v>
      </c>
      <c r="I889" s="31"/>
      <c r="J889" s="31"/>
      <c r="N889" s="23" t="s">
        <v>415</v>
      </c>
    </row>
    <row r="890" spans="1:14" x14ac:dyDescent="0.35">
      <c r="A890" s="24" t="s">
        <v>4784</v>
      </c>
      <c r="B890" s="24" t="s">
        <v>4785</v>
      </c>
      <c r="C890" s="24" t="s">
        <v>4786</v>
      </c>
      <c r="E890" s="31" t="s">
        <v>4787</v>
      </c>
      <c r="F890" s="31" t="s">
        <v>4788</v>
      </c>
      <c r="G890" s="31" t="s">
        <v>4789</v>
      </c>
      <c r="H890" s="31" t="s">
        <v>4790</v>
      </c>
      <c r="I890" s="31" t="s">
        <v>4791</v>
      </c>
      <c r="J890" s="31"/>
      <c r="N890" s="23" t="s">
        <v>1434</v>
      </c>
    </row>
    <row r="891" spans="1:14" x14ac:dyDescent="0.35">
      <c r="A891" s="24" t="s">
        <v>4792</v>
      </c>
      <c r="B891" s="24" t="s">
        <v>4793</v>
      </c>
      <c r="C891" s="24" t="s">
        <v>4794</v>
      </c>
      <c r="E891" s="31" t="s">
        <v>4795</v>
      </c>
      <c r="F891" s="31" t="s">
        <v>4796</v>
      </c>
      <c r="G891" s="31" t="s">
        <v>4797</v>
      </c>
      <c r="H891" s="31" t="s">
        <v>4798</v>
      </c>
      <c r="I891" s="31" t="s">
        <v>4799</v>
      </c>
      <c r="J891" s="31"/>
      <c r="N891" s="23" t="s">
        <v>415</v>
      </c>
    </row>
    <row r="892" spans="1:14" x14ac:dyDescent="0.35">
      <c r="A892" s="24" t="s">
        <v>4800</v>
      </c>
      <c r="B892" s="24" t="s">
        <v>4801</v>
      </c>
      <c r="C892" s="24" t="s">
        <v>4802</v>
      </c>
      <c r="E892" s="31" t="s">
        <v>4803</v>
      </c>
      <c r="F892" s="31" t="s">
        <v>4804</v>
      </c>
      <c r="G892" s="31" t="s">
        <v>4805</v>
      </c>
      <c r="H892" s="31" t="s">
        <v>4806</v>
      </c>
      <c r="I892" s="31" t="s">
        <v>4807</v>
      </c>
      <c r="J892" s="31"/>
      <c r="N892" s="23" t="s">
        <v>415</v>
      </c>
    </row>
    <row r="893" spans="1:14" x14ac:dyDescent="0.35">
      <c r="A893" s="24" t="s">
        <v>4808</v>
      </c>
      <c r="B893" s="24" t="s">
        <v>4809</v>
      </c>
      <c r="C893" s="24" t="s">
        <v>4810</v>
      </c>
      <c r="E893" s="31" t="s">
        <v>4811</v>
      </c>
      <c r="F893" s="31" t="s">
        <v>4812</v>
      </c>
      <c r="G893" s="31" t="s">
        <v>4813</v>
      </c>
      <c r="H893" s="31" t="s">
        <v>4814</v>
      </c>
      <c r="I893" s="31" t="s">
        <v>4815</v>
      </c>
      <c r="J893" s="31"/>
      <c r="N893" s="23" t="s">
        <v>415</v>
      </c>
    </row>
    <row r="894" spans="1:14" x14ac:dyDescent="0.35">
      <c r="A894" s="24" t="s">
        <v>4816</v>
      </c>
      <c r="B894" s="24" t="s">
        <v>4817</v>
      </c>
      <c r="C894" s="24" t="s">
        <v>4818</v>
      </c>
      <c r="E894" s="31" t="s">
        <v>4819</v>
      </c>
      <c r="F894" s="31" t="s">
        <v>4820</v>
      </c>
      <c r="G894" s="31" t="s">
        <v>4821</v>
      </c>
      <c r="H894" s="31" t="s">
        <v>4822</v>
      </c>
      <c r="I894" s="31" t="s">
        <v>4823</v>
      </c>
      <c r="J894" s="31"/>
      <c r="N894" s="23" t="s">
        <v>1169</v>
      </c>
    </row>
    <row r="895" spans="1:14" x14ac:dyDescent="0.35">
      <c r="A895" s="24" t="s">
        <v>4824</v>
      </c>
      <c r="B895" s="24" t="s">
        <v>4825</v>
      </c>
      <c r="C895" s="24" t="s">
        <v>4826</v>
      </c>
      <c r="E895" s="31" t="s">
        <v>4827</v>
      </c>
      <c r="F895" s="31" t="s">
        <v>4828</v>
      </c>
      <c r="G895" s="31" t="s">
        <v>4829</v>
      </c>
      <c r="H895" s="31" t="s">
        <v>4830</v>
      </c>
      <c r="I895" s="31" t="s">
        <v>4831</v>
      </c>
      <c r="J895" s="31"/>
      <c r="N895" s="23" t="s">
        <v>415</v>
      </c>
    </row>
    <row r="896" spans="1:14" x14ac:dyDescent="0.35">
      <c r="A896" s="24" t="s">
        <v>4832</v>
      </c>
      <c r="B896" s="24" t="s">
        <v>4833</v>
      </c>
      <c r="C896" s="24" t="s">
        <v>4834</v>
      </c>
      <c r="E896" s="31" t="s">
        <v>4835</v>
      </c>
      <c r="F896" s="31" t="s">
        <v>4836</v>
      </c>
      <c r="G896" s="31"/>
      <c r="H896" s="31"/>
      <c r="I896" s="31"/>
      <c r="J896" s="31"/>
      <c r="N896" s="23" t="s">
        <v>415</v>
      </c>
    </row>
    <row r="897" spans="1:14" x14ac:dyDescent="0.35">
      <c r="A897" s="24" t="s">
        <v>4837</v>
      </c>
      <c r="B897" s="24" t="s">
        <v>4838</v>
      </c>
      <c r="C897" s="24" t="s">
        <v>4839</v>
      </c>
      <c r="E897" s="31" t="s">
        <v>4840</v>
      </c>
      <c r="F897" s="31"/>
      <c r="G897" s="31"/>
      <c r="H897" s="31"/>
      <c r="I897" s="31"/>
      <c r="J897" s="31"/>
      <c r="N897" s="23" t="s">
        <v>1434</v>
      </c>
    </row>
    <row r="898" spans="1:14" x14ac:dyDescent="0.35">
      <c r="A898" s="24" t="s">
        <v>4841</v>
      </c>
      <c r="B898" s="24" t="s">
        <v>4842</v>
      </c>
      <c r="C898" s="24" t="s">
        <v>4843</v>
      </c>
      <c r="E898" s="31" t="s">
        <v>4844</v>
      </c>
      <c r="F898" s="31" t="s">
        <v>4845</v>
      </c>
      <c r="G898" s="31" t="s">
        <v>4846</v>
      </c>
      <c r="H898" s="31" t="s">
        <v>4847</v>
      </c>
      <c r="I898" s="31" t="s">
        <v>4848</v>
      </c>
      <c r="J898" s="31"/>
      <c r="N898" s="23" t="s">
        <v>415</v>
      </c>
    </row>
    <row r="899" spans="1:14" x14ac:dyDescent="0.35">
      <c r="A899" s="24" t="s">
        <v>4849</v>
      </c>
      <c r="B899" s="24" t="s">
        <v>4850</v>
      </c>
      <c r="C899" s="24" t="s">
        <v>4851</v>
      </c>
      <c r="E899" s="31" t="s">
        <v>4852</v>
      </c>
      <c r="F899" s="31" t="s">
        <v>4853</v>
      </c>
      <c r="G899" s="31" t="s">
        <v>4854</v>
      </c>
      <c r="H899" s="31" t="s">
        <v>4855</v>
      </c>
      <c r="I899" s="31" t="s">
        <v>4856</v>
      </c>
      <c r="J899" s="31"/>
      <c r="N899" s="23" t="s">
        <v>415</v>
      </c>
    </row>
    <row r="900" spans="1:14" x14ac:dyDescent="0.35">
      <c r="A900" s="24" t="s">
        <v>4857</v>
      </c>
      <c r="B900" s="24" t="s">
        <v>4858</v>
      </c>
      <c r="C900" s="24" t="s">
        <v>4859</v>
      </c>
      <c r="E900" s="31" t="s">
        <v>4860</v>
      </c>
      <c r="F900" s="31" t="s">
        <v>4861</v>
      </c>
      <c r="G900" s="31" t="s">
        <v>4862</v>
      </c>
      <c r="H900" s="31" t="s">
        <v>4863</v>
      </c>
      <c r="I900" s="31" t="s">
        <v>4864</v>
      </c>
      <c r="J900" s="31"/>
      <c r="N900" s="23" t="s">
        <v>415</v>
      </c>
    </row>
    <row r="901" spans="1:14" x14ac:dyDescent="0.35">
      <c r="A901" s="24" t="s">
        <v>4865</v>
      </c>
      <c r="B901" s="24" t="s">
        <v>4866</v>
      </c>
      <c r="C901" s="24" t="s">
        <v>4867</v>
      </c>
      <c r="E901" s="31" t="s">
        <v>4868</v>
      </c>
      <c r="F901" s="31" t="s">
        <v>4869</v>
      </c>
      <c r="G901" s="31" t="s">
        <v>4870</v>
      </c>
      <c r="H901" s="31" t="s">
        <v>4871</v>
      </c>
      <c r="I901" s="31" t="s">
        <v>4872</v>
      </c>
      <c r="J901" s="31"/>
      <c r="N901" s="23" t="s">
        <v>1169</v>
      </c>
    </row>
    <row r="902" spans="1:14" x14ac:dyDescent="0.35">
      <c r="A902" s="24" t="s">
        <v>4873</v>
      </c>
      <c r="B902" s="24" t="s">
        <v>4874</v>
      </c>
      <c r="C902" s="24" t="s">
        <v>4875</v>
      </c>
      <c r="E902" s="31" t="s">
        <v>4876</v>
      </c>
      <c r="F902" s="31"/>
      <c r="G902" s="31"/>
      <c r="H902" s="31"/>
      <c r="I902" s="31"/>
      <c r="J902" s="31"/>
      <c r="N902" s="23" t="s">
        <v>415</v>
      </c>
    </row>
    <row r="903" spans="1:14" x14ac:dyDescent="0.35">
      <c r="A903" s="24" t="s">
        <v>4877</v>
      </c>
      <c r="B903" s="24" t="s">
        <v>4878</v>
      </c>
      <c r="C903" s="24" t="s">
        <v>4879</v>
      </c>
      <c r="E903" s="31"/>
      <c r="F903" s="31"/>
      <c r="G903" s="31"/>
      <c r="H903" s="31"/>
      <c r="I903" s="31"/>
      <c r="J903" s="31"/>
      <c r="N903" s="23" t="s">
        <v>415</v>
      </c>
    </row>
    <row r="904" spans="1:14" x14ac:dyDescent="0.35">
      <c r="A904" s="24" t="s">
        <v>4880</v>
      </c>
      <c r="B904" s="24" t="s">
        <v>4881</v>
      </c>
      <c r="C904" s="24" t="s">
        <v>4882</v>
      </c>
      <c r="E904" s="31" t="s">
        <v>4883</v>
      </c>
      <c r="F904" s="31" t="s">
        <v>4884</v>
      </c>
      <c r="G904" s="31" t="s">
        <v>4885</v>
      </c>
      <c r="H904" s="31" t="s">
        <v>4886</v>
      </c>
      <c r="I904" s="31" t="s">
        <v>4887</v>
      </c>
      <c r="J904" s="31"/>
      <c r="N904" s="23" t="s">
        <v>415</v>
      </c>
    </row>
    <row r="905" spans="1:14" x14ac:dyDescent="0.35">
      <c r="A905" s="24" t="s">
        <v>4888</v>
      </c>
      <c r="B905" s="24" t="s">
        <v>4889</v>
      </c>
      <c r="C905" s="24" t="s">
        <v>4890</v>
      </c>
      <c r="E905" s="31" t="s">
        <v>4891</v>
      </c>
      <c r="F905" s="31" t="s">
        <v>4892</v>
      </c>
      <c r="G905" s="31" t="s">
        <v>4893</v>
      </c>
      <c r="H905" s="31"/>
      <c r="I905" s="31"/>
      <c r="J905" s="31"/>
      <c r="N905" s="23" t="s">
        <v>415</v>
      </c>
    </row>
    <row r="906" spans="1:14" x14ac:dyDescent="0.35">
      <c r="A906" s="24" t="s">
        <v>4894</v>
      </c>
      <c r="B906" s="24" t="s">
        <v>4895</v>
      </c>
      <c r="C906" s="24" t="s">
        <v>9506</v>
      </c>
      <c r="E906" s="31" t="s">
        <v>4896</v>
      </c>
      <c r="F906" s="31" t="s">
        <v>4897</v>
      </c>
      <c r="G906" s="31" t="s">
        <v>4898</v>
      </c>
      <c r="H906" s="31" t="s">
        <v>4899</v>
      </c>
      <c r="I906" s="31" t="s">
        <v>4900</v>
      </c>
      <c r="J906" s="31"/>
      <c r="N906" s="23" t="s">
        <v>1434</v>
      </c>
    </row>
    <row r="907" spans="1:14" x14ac:dyDescent="0.35">
      <c r="A907" s="24" t="s">
        <v>4901</v>
      </c>
      <c r="B907" s="24" t="s">
        <v>4902</v>
      </c>
      <c r="C907" s="24" t="s">
        <v>4903</v>
      </c>
      <c r="E907" s="31" t="s">
        <v>4904</v>
      </c>
      <c r="F907" s="31" t="s">
        <v>4905</v>
      </c>
      <c r="G907" s="31" t="s">
        <v>4906</v>
      </c>
      <c r="H907" s="31" t="s">
        <v>4907</v>
      </c>
      <c r="I907" s="31" t="s">
        <v>4908</v>
      </c>
      <c r="J907" s="31"/>
      <c r="N907" s="23" t="s">
        <v>415</v>
      </c>
    </row>
    <row r="908" spans="1:14" x14ac:dyDescent="0.35">
      <c r="A908" s="24" t="s">
        <v>4909</v>
      </c>
      <c r="B908" s="24" t="s">
        <v>4910</v>
      </c>
      <c r="C908" s="24" t="s">
        <v>4911</v>
      </c>
      <c r="E908" s="31" t="s">
        <v>4912</v>
      </c>
      <c r="F908" s="31"/>
      <c r="G908" s="31"/>
      <c r="H908" s="31"/>
      <c r="I908" s="31"/>
      <c r="J908" s="31"/>
      <c r="N908" s="23" t="s">
        <v>415</v>
      </c>
    </row>
    <row r="909" spans="1:14" x14ac:dyDescent="0.35">
      <c r="A909" s="24" t="s">
        <v>4913</v>
      </c>
      <c r="B909" s="24" t="s">
        <v>4914</v>
      </c>
      <c r="C909" s="24" t="s">
        <v>4915</v>
      </c>
      <c r="E909" s="31" t="s">
        <v>4916</v>
      </c>
      <c r="F909" s="31" t="s">
        <v>4917</v>
      </c>
      <c r="G909" s="31" t="s">
        <v>4918</v>
      </c>
      <c r="H909" s="31" t="s">
        <v>4919</v>
      </c>
      <c r="I909" s="31" t="s">
        <v>4920</v>
      </c>
      <c r="J909" s="31"/>
      <c r="N909" s="23" t="s">
        <v>415</v>
      </c>
    </row>
    <row r="910" spans="1:14" x14ac:dyDescent="0.35">
      <c r="A910" s="24" t="s">
        <v>4921</v>
      </c>
      <c r="B910" s="24" t="s">
        <v>4922</v>
      </c>
      <c r="C910" s="24" t="s">
        <v>4923</v>
      </c>
      <c r="E910" s="31" t="s">
        <v>4924</v>
      </c>
      <c r="F910" s="31" t="s">
        <v>4925</v>
      </c>
      <c r="G910" s="31" t="s">
        <v>4926</v>
      </c>
      <c r="H910" s="31" t="s">
        <v>4927</v>
      </c>
      <c r="I910" s="31" t="s">
        <v>4928</v>
      </c>
      <c r="J910" s="31"/>
      <c r="N910" s="23" t="s">
        <v>415</v>
      </c>
    </row>
    <row r="911" spans="1:14" x14ac:dyDescent="0.35">
      <c r="A911" s="24" t="s">
        <v>4929</v>
      </c>
      <c r="B911" s="24" t="s">
        <v>4930</v>
      </c>
      <c r="C911" s="24" t="s">
        <v>4931</v>
      </c>
      <c r="E911" s="31" t="s">
        <v>4932</v>
      </c>
      <c r="F911" s="31" t="s">
        <v>4933</v>
      </c>
      <c r="G911" s="31" t="s">
        <v>4934</v>
      </c>
      <c r="H911" s="31" t="s">
        <v>4935</v>
      </c>
      <c r="I911" s="31"/>
      <c r="J911" s="31"/>
      <c r="N911" s="23" t="s">
        <v>415</v>
      </c>
    </row>
    <row r="912" spans="1:14" x14ac:dyDescent="0.35">
      <c r="A912" s="24" t="s">
        <v>4936</v>
      </c>
      <c r="B912" s="24" t="s">
        <v>4937</v>
      </c>
      <c r="C912" s="24" t="s">
        <v>4938</v>
      </c>
      <c r="E912" s="31" t="s">
        <v>4939</v>
      </c>
      <c r="F912" s="31" t="s">
        <v>4940</v>
      </c>
      <c r="G912" s="31" t="s">
        <v>4941</v>
      </c>
      <c r="H912" s="31" t="s">
        <v>4942</v>
      </c>
      <c r="I912" s="31" t="s">
        <v>4943</v>
      </c>
      <c r="J912" s="31"/>
      <c r="N912" s="23" t="s">
        <v>415</v>
      </c>
    </row>
    <row r="913" spans="1:14" x14ac:dyDescent="0.35">
      <c r="A913" s="24" t="s">
        <v>4944</v>
      </c>
      <c r="B913" s="24" t="s">
        <v>4945</v>
      </c>
      <c r="C913" s="24" t="s">
        <v>4946</v>
      </c>
      <c r="E913" s="31" t="s">
        <v>4947</v>
      </c>
      <c r="F913" s="31"/>
      <c r="G913" s="31"/>
      <c r="H913" s="31"/>
      <c r="I913" s="31"/>
      <c r="J913" s="31"/>
      <c r="N913" s="23" t="s">
        <v>415</v>
      </c>
    </row>
    <row r="914" spans="1:14" x14ac:dyDescent="0.35">
      <c r="A914" s="24" t="s">
        <v>4948</v>
      </c>
      <c r="B914" s="24" t="s">
        <v>4949</v>
      </c>
      <c r="C914" s="24" t="s">
        <v>4950</v>
      </c>
      <c r="E914" s="31" t="s">
        <v>4951</v>
      </c>
      <c r="F914" s="31"/>
      <c r="G914" s="31"/>
      <c r="H914" s="31"/>
      <c r="I914" s="31"/>
      <c r="J914" s="31"/>
      <c r="N914" s="23" t="s">
        <v>415</v>
      </c>
    </row>
    <row r="915" spans="1:14" x14ac:dyDescent="0.35">
      <c r="A915" s="24" t="s">
        <v>4952</v>
      </c>
      <c r="B915" s="24" t="s">
        <v>4953</v>
      </c>
      <c r="C915" s="24" t="s">
        <v>4954</v>
      </c>
      <c r="E915" s="31" t="s">
        <v>4955</v>
      </c>
      <c r="F915" s="31"/>
      <c r="G915" s="31"/>
      <c r="H915" s="31"/>
      <c r="I915" s="31"/>
      <c r="J915" s="31"/>
      <c r="N915" s="23" t="s">
        <v>415</v>
      </c>
    </row>
    <row r="916" spans="1:14" x14ac:dyDescent="0.35">
      <c r="A916" s="24" t="s">
        <v>4956</v>
      </c>
      <c r="B916" s="24" t="s">
        <v>4957</v>
      </c>
      <c r="C916" s="24" t="s">
        <v>4958</v>
      </c>
      <c r="E916" s="31" t="s">
        <v>4959</v>
      </c>
      <c r="F916" s="31"/>
      <c r="G916" s="31"/>
      <c r="H916" s="31"/>
      <c r="I916" s="31"/>
      <c r="J916" s="31"/>
      <c r="N916" s="23" t="s">
        <v>871</v>
      </c>
    </row>
    <row r="917" spans="1:14" x14ac:dyDescent="0.35">
      <c r="A917" s="24" t="s">
        <v>4960</v>
      </c>
      <c r="B917" s="24" t="s">
        <v>4961</v>
      </c>
      <c r="C917" s="24" t="s">
        <v>4962</v>
      </c>
      <c r="D917" s="24" t="s">
        <v>9454</v>
      </c>
      <c r="E917" s="31" t="s">
        <v>4963</v>
      </c>
      <c r="F917" s="31"/>
      <c r="G917" s="31"/>
      <c r="H917" s="31"/>
      <c r="I917" s="31"/>
      <c r="J917" s="31"/>
      <c r="N917" s="23" t="s">
        <v>415</v>
      </c>
    </row>
    <row r="918" spans="1:14" x14ac:dyDescent="0.35">
      <c r="A918" s="24" t="s">
        <v>4964</v>
      </c>
      <c r="B918" s="24" t="s">
        <v>4965</v>
      </c>
      <c r="C918" s="24" t="s">
        <v>4966</v>
      </c>
      <c r="E918" s="31" t="s">
        <v>4967</v>
      </c>
      <c r="F918" s="31" t="s">
        <v>4968</v>
      </c>
      <c r="G918" s="31" t="s">
        <v>4969</v>
      </c>
      <c r="H918" s="31" t="s">
        <v>4970</v>
      </c>
      <c r="I918" s="31" t="s">
        <v>4971</v>
      </c>
      <c r="J918" s="31"/>
      <c r="N918" s="23" t="s">
        <v>415</v>
      </c>
    </row>
    <row r="919" spans="1:14" x14ac:dyDescent="0.35">
      <c r="A919" s="24" t="s">
        <v>4972</v>
      </c>
      <c r="B919" s="24" t="s">
        <v>4973</v>
      </c>
      <c r="C919" s="24" t="s">
        <v>4974</v>
      </c>
      <c r="E919" s="31" t="s">
        <v>4975</v>
      </c>
      <c r="F919" s="31" t="s">
        <v>4976</v>
      </c>
      <c r="G919" s="31" t="s">
        <v>4977</v>
      </c>
      <c r="H919" s="31" t="s">
        <v>4978</v>
      </c>
      <c r="I919" s="31" t="s">
        <v>4979</v>
      </c>
      <c r="J919" s="31"/>
      <c r="N919" s="23" t="s">
        <v>415</v>
      </c>
    </row>
    <row r="920" spans="1:14" x14ac:dyDescent="0.35">
      <c r="A920" s="24" t="s">
        <v>4980</v>
      </c>
      <c r="B920" s="24" t="s">
        <v>4981</v>
      </c>
      <c r="C920" s="24" t="s">
        <v>4982</v>
      </c>
      <c r="E920" s="31" t="s">
        <v>4983</v>
      </c>
      <c r="F920" s="31" t="s">
        <v>4984</v>
      </c>
      <c r="G920" s="31" t="s">
        <v>4985</v>
      </c>
      <c r="H920" s="31" t="s">
        <v>4986</v>
      </c>
      <c r="I920" s="31" t="s">
        <v>4987</v>
      </c>
      <c r="J920" s="31"/>
      <c r="N920" s="23" t="s">
        <v>415</v>
      </c>
    </row>
    <row r="921" spans="1:14" x14ac:dyDescent="0.35">
      <c r="A921" s="24" t="s">
        <v>4988</v>
      </c>
      <c r="B921" s="24" t="s">
        <v>4989</v>
      </c>
      <c r="C921" s="24" t="s">
        <v>4990</v>
      </c>
      <c r="E921" s="31" t="s">
        <v>4991</v>
      </c>
      <c r="F921" s="31" t="s">
        <v>4992</v>
      </c>
      <c r="G921" s="31" t="s">
        <v>4993</v>
      </c>
      <c r="H921" s="31" t="s">
        <v>4994</v>
      </c>
      <c r="I921" s="31"/>
      <c r="J921" s="31"/>
      <c r="N921" s="23" t="s">
        <v>415</v>
      </c>
    </row>
    <row r="922" spans="1:14" x14ac:dyDescent="0.35">
      <c r="A922" s="24" t="s">
        <v>4995</v>
      </c>
      <c r="B922" s="24" t="s">
        <v>4996</v>
      </c>
      <c r="C922" s="24" t="s">
        <v>4997</v>
      </c>
      <c r="E922" s="31" t="s">
        <v>4998</v>
      </c>
      <c r="F922" s="31" t="s">
        <v>4999</v>
      </c>
      <c r="G922" s="31"/>
      <c r="H922" s="31"/>
      <c r="I922" s="31"/>
      <c r="J922" s="31"/>
      <c r="N922" s="23" t="s">
        <v>415</v>
      </c>
    </row>
    <row r="923" spans="1:14" x14ac:dyDescent="0.35">
      <c r="A923" s="24" t="s">
        <v>5000</v>
      </c>
      <c r="B923" s="24" t="s">
        <v>5001</v>
      </c>
      <c r="C923" s="24" t="s">
        <v>5002</v>
      </c>
      <c r="E923" s="31" t="s">
        <v>5003</v>
      </c>
      <c r="F923" s="31" t="s">
        <v>5004</v>
      </c>
      <c r="G923" s="31" t="s">
        <v>5005</v>
      </c>
      <c r="H923" s="31" t="s">
        <v>5006</v>
      </c>
      <c r="I923" s="31" t="s">
        <v>5007</v>
      </c>
      <c r="J923" s="31"/>
      <c r="N923" s="23" t="s">
        <v>415</v>
      </c>
    </row>
    <row r="924" spans="1:14" x14ac:dyDescent="0.35">
      <c r="A924" s="24" t="s">
        <v>5008</v>
      </c>
      <c r="B924" s="24" t="s">
        <v>5009</v>
      </c>
      <c r="C924" s="24" t="s">
        <v>5010</v>
      </c>
      <c r="E924" s="31" t="s">
        <v>5011</v>
      </c>
      <c r="F924" s="31"/>
      <c r="G924" s="31"/>
      <c r="H924" s="31"/>
      <c r="I924" s="31"/>
      <c r="J924" s="31"/>
      <c r="N924" s="23" t="s">
        <v>415</v>
      </c>
    </row>
    <row r="925" spans="1:14" x14ac:dyDescent="0.35">
      <c r="A925" s="24" t="s">
        <v>5012</v>
      </c>
      <c r="B925" s="24" t="s">
        <v>5013</v>
      </c>
      <c r="C925" s="24" t="s">
        <v>5014</v>
      </c>
      <c r="E925" s="31" t="s">
        <v>5015</v>
      </c>
      <c r="F925" s="31"/>
      <c r="G925" s="31"/>
      <c r="H925" s="31"/>
      <c r="I925" s="31"/>
      <c r="J925" s="31"/>
      <c r="N925" s="23" t="s">
        <v>871</v>
      </c>
    </row>
    <row r="926" spans="1:14" x14ac:dyDescent="0.35">
      <c r="A926" s="24" t="s">
        <v>5016</v>
      </c>
      <c r="B926" s="24" t="s">
        <v>5017</v>
      </c>
      <c r="C926" s="24" t="s">
        <v>5018</v>
      </c>
      <c r="E926" s="31" t="s">
        <v>5019</v>
      </c>
      <c r="F926" s="31"/>
      <c r="G926" s="31"/>
      <c r="H926" s="31"/>
      <c r="I926" s="31"/>
      <c r="J926" s="31"/>
      <c r="N926" s="23" t="s">
        <v>415</v>
      </c>
    </row>
    <row r="927" spans="1:14" x14ac:dyDescent="0.35">
      <c r="A927" s="24" t="s">
        <v>5020</v>
      </c>
      <c r="B927" s="24" t="s">
        <v>5021</v>
      </c>
      <c r="C927" s="24" t="s">
        <v>5022</v>
      </c>
      <c r="E927" s="31" t="s">
        <v>5023</v>
      </c>
      <c r="F927" s="31"/>
      <c r="G927" s="31"/>
      <c r="H927" s="31"/>
      <c r="I927" s="31"/>
      <c r="J927" s="31"/>
      <c r="N927" s="23" t="s">
        <v>415</v>
      </c>
    </row>
    <row r="928" spans="1:14" x14ac:dyDescent="0.35">
      <c r="A928" s="24" t="s">
        <v>5024</v>
      </c>
      <c r="B928" s="24" t="s">
        <v>5025</v>
      </c>
      <c r="C928" s="24" t="s">
        <v>5026</v>
      </c>
      <c r="E928" s="31" t="s">
        <v>5027</v>
      </c>
      <c r="F928" s="31"/>
      <c r="G928" s="31"/>
      <c r="H928" s="31"/>
      <c r="I928" s="31"/>
      <c r="J928" s="31"/>
      <c r="N928" s="23" t="s">
        <v>415</v>
      </c>
    </row>
    <row r="929" spans="1:14" x14ac:dyDescent="0.35">
      <c r="A929" s="24" t="s">
        <v>5028</v>
      </c>
      <c r="B929" s="24" t="s">
        <v>5029</v>
      </c>
      <c r="C929" s="24" t="s">
        <v>5030</v>
      </c>
      <c r="E929" s="31" t="s">
        <v>5031</v>
      </c>
      <c r="F929" s="31" t="s">
        <v>5032</v>
      </c>
      <c r="G929" s="31" t="s">
        <v>5033</v>
      </c>
      <c r="H929" s="31" t="s">
        <v>5034</v>
      </c>
      <c r="I929" s="31" t="s">
        <v>5035</v>
      </c>
      <c r="J929" s="31"/>
      <c r="N929" s="23" t="s">
        <v>415</v>
      </c>
    </row>
    <row r="930" spans="1:14" x14ac:dyDescent="0.35">
      <c r="A930" s="24" t="s">
        <v>5036</v>
      </c>
      <c r="B930" s="24" t="s">
        <v>5037</v>
      </c>
      <c r="C930" s="24" t="s">
        <v>5038</v>
      </c>
      <c r="E930" s="31" t="s">
        <v>4198</v>
      </c>
      <c r="F930" s="31" t="s">
        <v>4199</v>
      </c>
      <c r="G930" s="31" t="s">
        <v>4200</v>
      </c>
      <c r="H930" s="31" t="s">
        <v>5039</v>
      </c>
      <c r="I930" s="31" t="s">
        <v>5040</v>
      </c>
      <c r="J930" s="31"/>
      <c r="N930" s="23" t="s">
        <v>415</v>
      </c>
    </row>
    <row r="931" spans="1:14" x14ac:dyDescent="0.35">
      <c r="A931" s="24" t="s">
        <v>5041</v>
      </c>
      <c r="B931" s="24" t="s">
        <v>5042</v>
      </c>
      <c r="C931" s="24" t="s">
        <v>5043</v>
      </c>
      <c r="E931" s="31" t="s">
        <v>5044</v>
      </c>
      <c r="F931" s="31" t="s">
        <v>5045</v>
      </c>
      <c r="G931" s="31" t="s">
        <v>5046</v>
      </c>
      <c r="H931" s="31" t="s">
        <v>5047</v>
      </c>
      <c r="I931" s="31" t="s">
        <v>5048</v>
      </c>
      <c r="J931" s="31"/>
      <c r="N931" s="23" t="s">
        <v>415</v>
      </c>
    </row>
    <row r="932" spans="1:14" x14ac:dyDescent="0.35">
      <c r="A932" s="24" t="s">
        <v>5049</v>
      </c>
      <c r="B932" s="24" t="s">
        <v>5050</v>
      </c>
      <c r="C932" s="24" t="s">
        <v>5051</v>
      </c>
      <c r="E932" s="31" t="s">
        <v>5052</v>
      </c>
      <c r="F932" s="31" t="s">
        <v>5053</v>
      </c>
      <c r="G932" s="31" t="s">
        <v>5054</v>
      </c>
      <c r="H932" s="31" t="s">
        <v>5055</v>
      </c>
      <c r="I932" s="31" t="s">
        <v>5056</v>
      </c>
      <c r="J932" s="31"/>
      <c r="N932" s="23" t="s">
        <v>415</v>
      </c>
    </row>
    <row r="933" spans="1:14" x14ac:dyDescent="0.35">
      <c r="A933" s="24" t="s">
        <v>5057</v>
      </c>
      <c r="B933" s="24" t="s">
        <v>5058</v>
      </c>
      <c r="C933" s="24" t="s">
        <v>5059</v>
      </c>
      <c r="E933" s="31" t="s">
        <v>5060</v>
      </c>
      <c r="F933" s="31"/>
      <c r="G933" s="31"/>
      <c r="H933" s="31"/>
      <c r="I933" s="31"/>
      <c r="J933" s="31"/>
      <c r="N933" s="23" t="s">
        <v>415</v>
      </c>
    </row>
    <row r="934" spans="1:14" x14ac:dyDescent="0.35">
      <c r="A934" s="24" t="s">
        <v>5061</v>
      </c>
      <c r="B934" s="24" t="s">
        <v>5062</v>
      </c>
      <c r="C934" s="24" t="s">
        <v>5063</v>
      </c>
      <c r="E934" s="31" t="s">
        <v>5064</v>
      </c>
      <c r="F934" s="31"/>
      <c r="G934" s="31"/>
      <c r="H934" s="31"/>
      <c r="I934" s="31"/>
      <c r="J934" s="31"/>
      <c r="N934" s="23" t="s">
        <v>415</v>
      </c>
    </row>
    <row r="935" spans="1:14" x14ac:dyDescent="0.35">
      <c r="A935" s="24" t="s">
        <v>5065</v>
      </c>
      <c r="B935" s="24" t="s">
        <v>5066</v>
      </c>
      <c r="C935" s="24" t="s">
        <v>5067</v>
      </c>
      <c r="E935" s="31" t="s">
        <v>5068</v>
      </c>
      <c r="F935" s="31" t="s">
        <v>5069</v>
      </c>
      <c r="G935" s="31" t="s">
        <v>5070</v>
      </c>
      <c r="H935" s="31"/>
      <c r="I935" s="31"/>
      <c r="J935" s="31"/>
      <c r="N935" s="23" t="s">
        <v>1696</v>
      </c>
    </row>
    <row r="936" spans="1:14" x14ac:dyDescent="0.35">
      <c r="A936" s="24" t="s">
        <v>5071</v>
      </c>
      <c r="B936" s="24" t="s">
        <v>5072</v>
      </c>
      <c r="C936" s="24" t="s">
        <v>5073</v>
      </c>
      <c r="E936" s="31" t="s">
        <v>5074</v>
      </c>
      <c r="F936" s="31"/>
      <c r="G936" s="31"/>
      <c r="H936" s="31"/>
      <c r="I936" s="31"/>
      <c r="J936" s="31"/>
      <c r="N936" s="23" t="s">
        <v>415</v>
      </c>
    </row>
    <row r="937" spans="1:14" x14ac:dyDescent="0.35">
      <c r="A937" s="24" t="s">
        <v>5075</v>
      </c>
      <c r="B937" s="24" t="s">
        <v>5076</v>
      </c>
      <c r="C937" s="24" t="s">
        <v>5077</v>
      </c>
      <c r="E937" s="31" t="s">
        <v>5078</v>
      </c>
      <c r="F937" s="31"/>
      <c r="G937" s="31"/>
      <c r="H937" s="31"/>
      <c r="I937" s="31"/>
      <c r="J937" s="31"/>
      <c r="N937" s="23" t="s">
        <v>415</v>
      </c>
    </row>
    <row r="938" spans="1:14" x14ac:dyDescent="0.35">
      <c r="A938" s="24" t="s">
        <v>5079</v>
      </c>
      <c r="B938" s="24" t="s">
        <v>5080</v>
      </c>
      <c r="C938" s="24" t="s">
        <v>5081</v>
      </c>
      <c r="E938" s="31" t="s">
        <v>5082</v>
      </c>
      <c r="F938" s="31"/>
      <c r="G938" s="31"/>
      <c r="H938" s="31"/>
      <c r="I938" s="31"/>
      <c r="J938" s="31"/>
      <c r="N938" s="23" t="s">
        <v>415</v>
      </c>
    </row>
    <row r="939" spans="1:14" x14ac:dyDescent="0.35">
      <c r="A939" s="24" t="s">
        <v>5083</v>
      </c>
      <c r="B939" s="24" t="s">
        <v>5084</v>
      </c>
      <c r="C939" s="24" t="s">
        <v>5085</v>
      </c>
      <c r="E939" s="31" t="s">
        <v>5086</v>
      </c>
      <c r="F939" s="31"/>
      <c r="G939" s="31"/>
      <c r="H939" s="31"/>
      <c r="I939" s="31"/>
      <c r="J939" s="31"/>
      <c r="N939" s="23" t="s">
        <v>415</v>
      </c>
    </row>
    <row r="940" spans="1:14" x14ac:dyDescent="0.35">
      <c r="A940" s="24" t="s">
        <v>5087</v>
      </c>
      <c r="B940" s="24" t="s">
        <v>5088</v>
      </c>
      <c r="C940" s="24" t="s">
        <v>5089</v>
      </c>
      <c r="E940" s="31" t="s">
        <v>5090</v>
      </c>
      <c r="F940" s="31"/>
      <c r="G940" s="31"/>
      <c r="H940" s="31"/>
      <c r="I940" s="31"/>
      <c r="J940" s="31"/>
      <c r="N940" s="23" t="s">
        <v>415</v>
      </c>
    </row>
    <row r="941" spans="1:14" x14ac:dyDescent="0.35">
      <c r="A941" s="24" t="s">
        <v>5091</v>
      </c>
      <c r="B941" s="24" t="s">
        <v>5092</v>
      </c>
      <c r="C941" s="24" t="s">
        <v>5093</v>
      </c>
      <c r="E941" s="31" t="s">
        <v>4635</v>
      </c>
      <c r="F941" s="31" t="s">
        <v>4636</v>
      </c>
      <c r="G941" s="31"/>
      <c r="H941" s="31"/>
      <c r="I941" s="31"/>
      <c r="J941" s="31"/>
      <c r="N941" s="23" t="s">
        <v>415</v>
      </c>
    </row>
    <row r="942" spans="1:14" x14ac:dyDescent="0.35">
      <c r="A942" s="24" t="s">
        <v>5094</v>
      </c>
      <c r="B942" s="24" t="s">
        <v>5095</v>
      </c>
      <c r="C942" s="24" t="s">
        <v>5096</v>
      </c>
      <c r="E942" s="31" t="s">
        <v>5097</v>
      </c>
      <c r="F942" s="31" t="s">
        <v>5098</v>
      </c>
      <c r="G942" s="31" t="s">
        <v>5099</v>
      </c>
      <c r="H942" s="31" t="s">
        <v>5100</v>
      </c>
      <c r="I942" s="31"/>
      <c r="J942" s="31"/>
      <c r="N942" s="23" t="s">
        <v>1434</v>
      </c>
    </row>
    <row r="943" spans="1:14" ht="16.2" x14ac:dyDescent="0.35">
      <c r="A943" s="24" t="s">
        <v>5101</v>
      </c>
      <c r="B943" s="24" t="s">
        <v>5102</v>
      </c>
      <c r="C943" s="24" t="s">
        <v>5103</v>
      </c>
      <c r="E943" s="31" t="s">
        <v>5104</v>
      </c>
      <c r="F943" s="7" t="s">
        <v>9673</v>
      </c>
      <c r="G943" s="7" t="s">
        <v>9675</v>
      </c>
      <c r="H943" s="31"/>
      <c r="I943" s="31"/>
      <c r="J943" s="31"/>
      <c r="N943" s="23" t="s">
        <v>1434</v>
      </c>
    </row>
    <row r="944" spans="1:14" x14ac:dyDescent="0.35">
      <c r="A944" s="24" t="s">
        <v>5105</v>
      </c>
      <c r="B944" s="24" t="s">
        <v>5106</v>
      </c>
      <c r="C944" s="24" t="s">
        <v>5107</v>
      </c>
      <c r="E944" s="31" t="s">
        <v>4457</v>
      </c>
      <c r="F944" s="31" t="s">
        <v>4458</v>
      </c>
      <c r="G944" s="31" t="s">
        <v>4459</v>
      </c>
      <c r="H944" s="31" t="s">
        <v>4460</v>
      </c>
      <c r="I944" s="31" t="s">
        <v>4461</v>
      </c>
      <c r="J944" s="31"/>
      <c r="N944" s="23" t="s">
        <v>415</v>
      </c>
    </row>
    <row r="945" spans="1:14" x14ac:dyDescent="0.35">
      <c r="A945" s="24" t="s">
        <v>5108</v>
      </c>
      <c r="B945" s="24" t="s">
        <v>5109</v>
      </c>
      <c r="C945" s="24" t="s">
        <v>5110</v>
      </c>
      <c r="E945" s="31" t="s">
        <v>5111</v>
      </c>
      <c r="F945" s="31"/>
      <c r="G945" s="31"/>
      <c r="H945" s="31"/>
      <c r="I945" s="31"/>
      <c r="J945" s="31"/>
      <c r="N945" s="23" t="s">
        <v>415</v>
      </c>
    </row>
    <row r="946" spans="1:14" x14ac:dyDescent="0.35">
      <c r="A946" s="24" t="s">
        <v>5112</v>
      </c>
      <c r="B946" s="24" t="s">
        <v>5113</v>
      </c>
      <c r="C946" s="24" t="s">
        <v>5114</v>
      </c>
      <c r="E946" s="31" t="s">
        <v>5115</v>
      </c>
      <c r="F946" s="31"/>
      <c r="G946" s="31"/>
      <c r="H946" s="31"/>
      <c r="I946" s="31"/>
      <c r="J946" s="31"/>
      <c r="N946" s="23" t="s">
        <v>415</v>
      </c>
    </row>
    <row r="947" spans="1:14" x14ac:dyDescent="0.35">
      <c r="A947" s="24" t="s">
        <v>5116</v>
      </c>
      <c r="B947" s="24" t="s">
        <v>5117</v>
      </c>
      <c r="C947" s="24" t="s">
        <v>5118</v>
      </c>
      <c r="E947" s="31" t="s">
        <v>5119</v>
      </c>
      <c r="F947" s="31" t="s">
        <v>5120</v>
      </c>
      <c r="G947" s="31" t="s">
        <v>5121</v>
      </c>
      <c r="H947" s="31" t="s">
        <v>5122</v>
      </c>
      <c r="I947" s="31" t="s">
        <v>5123</v>
      </c>
      <c r="J947" s="31"/>
      <c r="N947" s="23" t="s">
        <v>415</v>
      </c>
    </row>
    <row r="948" spans="1:14" x14ac:dyDescent="0.35">
      <c r="A948" s="24" t="s">
        <v>5124</v>
      </c>
      <c r="B948" s="24" t="s">
        <v>5125</v>
      </c>
      <c r="C948" s="24" t="s">
        <v>5126</v>
      </c>
      <c r="E948" s="31" t="s">
        <v>5127</v>
      </c>
      <c r="F948" s="31" t="s">
        <v>5128</v>
      </c>
      <c r="G948" s="31" t="s">
        <v>5129</v>
      </c>
      <c r="H948" s="31" t="s">
        <v>5130</v>
      </c>
      <c r="I948" s="31" t="s">
        <v>5131</v>
      </c>
      <c r="J948" s="31"/>
      <c r="N948" s="23" t="s">
        <v>415</v>
      </c>
    </row>
    <row r="949" spans="1:14" x14ac:dyDescent="0.35">
      <c r="A949" s="24" t="s">
        <v>5132</v>
      </c>
      <c r="B949" s="24" t="s">
        <v>5133</v>
      </c>
      <c r="C949" s="24" t="s">
        <v>5134</v>
      </c>
      <c r="E949" s="31" t="s">
        <v>5135</v>
      </c>
      <c r="F949" s="31" t="s">
        <v>5136</v>
      </c>
      <c r="G949" s="31" t="s">
        <v>5137</v>
      </c>
      <c r="H949" s="31" t="s">
        <v>5138</v>
      </c>
      <c r="I949" s="31" t="s">
        <v>5139</v>
      </c>
      <c r="J949" s="31"/>
      <c r="N949" s="23" t="s">
        <v>415</v>
      </c>
    </row>
    <row r="950" spans="1:14" x14ac:dyDescent="0.35">
      <c r="A950" s="24" t="s">
        <v>5140</v>
      </c>
      <c r="B950" s="24" t="s">
        <v>5141</v>
      </c>
      <c r="C950" s="24" t="s">
        <v>5142</v>
      </c>
      <c r="E950" s="31" t="s">
        <v>5143</v>
      </c>
      <c r="F950" s="31" t="s">
        <v>5144</v>
      </c>
      <c r="G950" s="31" t="s">
        <v>5145</v>
      </c>
      <c r="H950" s="31" t="s">
        <v>5146</v>
      </c>
      <c r="I950" s="31"/>
      <c r="J950" s="31"/>
      <c r="N950" s="23" t="s">
        <v>1696</v>
      </c>
    </row>
    <row r="951" spans="1:14" x14ac:dyDescent="0.35">
      <c r="A951" s="24" t="s">
        <v>5147</v>
      </c>
      <c r="B951" s="24" t="s">
        <v>5148</v>
      </c>
      <c r="C951" s="24" t="s">
        <v>5149</v>
      </c>
      <c r="E951" s="31" t="s">
        <v>5150</v>
      </c>
      <c r="F951" s="31" t="s">
        <v>5151</v>
      </c>
      <c r="G951" s="31" t="s">
        <v>5152</v>
      </c>
      <c r="H951" s="31"/>
      <c r="I951" s="31"/>
      <c r="J951" s="31"/>
      <c r="N951" s="23" t="s">
        <v>415</v>
      </c>
    </row>
    <row r="952" spans="1:14" x14ac:dyDescent="0.35">
      <c r="A952" s="24" t="s">
        <v>5153</v>
      </c>
      <c r="B952" s="24" t="s">
        <v>5154</v>
      </c>
      <c r="C952" s="24" t="s">
        <v>5155</v>
      </c>
      <c r="E952" s="31" t="s">
        <v>5156</v>
      </c>
      <c r="F952" s="31" t="s">
        <v>5157</v>
      </c>
      <c r="G952" s="31" t="s">
        <v>5158</v>
      </c>
      <c r="H952" s="31" t="s">
        <v>5159</v>
      </c>
      <c r="I952" s="31" t="s">
        <v>5160</v>
      </c>
      <c r="J952" s="31"/>
      <c r="N952" s="23" t="s">
        <v>415</v>
      </c>
    </row>
    <row r="953" spans="1:14" x14ac:dyDescent="0.35">
      <c r="A953" s="24" t="s">
        <v>5161</v>
      </c>
      <c r="B953" s="24" t="s">
        <v>5162</v>
      </c>
      <c r="C953" s="24" t="s">
        <v>5163</v>
      </c>
      <c r="E953" s="31" t="s">
        <v>5164</v>
      </c>
      <c r="F953" s="31" t="s">
        <v>5165</v>
      </c>
      <c r="G953" s="31" t="s">
        <v>5166</v>
      </c>
      <c r="H953" s="31" t="s">
        <v>5167</v>
      </c>
      <c r="I953" s="31" t="s">
        <v>5168</v>
      </c>
      <c r="J953" s="31"/>
      <c r="N953" s="23" t="s">
        <v>415</v>
      </c>
    </row>
    <row r="954" spans="1:14" ht="16.2" x14ac:dyDescent="0.35">
      <c r="A954" s="24" t="s">
        <v>5169</v>
      </c>
      <c r="B954" s="24" t="s">
        <v>5170</v>
      </c>
      <c r="C954" s="24" t="s">
        <v>5171</v>
      </c>
      <c r="E954" s="31" t="s">
        <v>5172</v>
      </c>
      <c r="F954" s="7" t="s">
        <v>9674</v>
      </c>
      <c r="G954" s="7" t="s">
        <v>9701</v>
      </c>
      <c r="H954" s="7" t="s">
        <v>9702</v>
      </c>
      <c r="I954" s="7"/>
      <c r="J954" s="31"/>
      <c r="N954" s="23" t="s">
        <v>415</v>
      </c>
    </row>
    <row r="955" spans="1:14" x14ac:dyDescent="0.35">
      <c r="A955" s="24" t="s">
        <v>5173</v>
      </c>
      <c r="B955" s="24" t="s">
        <v>5174</v>
      </c>
      <c r="C955" s="24" t="s">
        <v>5175</v>
      </c>
      <c r="E955" s="31" t="s">
        <v>5176</v>
      </c>
      <c r="F955" s="31"/>
      <c r="G955" s="31"/>
      <c r="H955" s="31"/>
      <c r="I955" s="31"/>
      <c r="J955" s="31"/>
      <c r="N955" s="23" t="s">
        <v>415</v>
      </c>
    </row>
    <row r="956" spans="1:14" x14ac:dyDescent="0.35">
      <c r="A956" s="24" t="s">
        <v>5177</v>
      </c>
      <c r="B956" s="24" t="s">
        <v>5178</v>
      </c>
      <c r="C956" s="24" t="s">
        <v>5179</v>
      </c>
      <c r="E956" s="31" t="s">
        <v>5180</v>
      </c>
      <c r="F956" s="31" t="s">
        <v>5181</v>
      </c>
      <c r="G956" s="31"/>
      <c r="H956" s="31"/>
      <c r="I956" s="31"/>
      <c r="J956" s="31"/>
      <c r="N956" s="23" t="s">
        <v>415</v>
      </c>
    </row>
    <row r="957" spans="1:14" x14ac:dyDescent="0.35">
      <c r="A957" s="24" t="s">
        <v>5182</v>
      </c>
      <c r="B957" s="24" t="s">
        <v>5183</v>
      </c>
      <c r="C957" s="24" t="s">
        <v>5184</v>
      </c>
      <c r="E957" s="31" t="s">
        <v>5185</v>
      </c>
      <c r="F957" s="31"/>
      <c r="G957" s="31"/>
      <c r="H957" s="31"/>
      <c r="I957" s="31"/>
      <c r="J957" s="31"/>
      <c r="N957" s="23" t="s">
        <v>458</v>
      </c>
    </row>
    <row r="958" spans="1:14" x14ac:dyDescent="0.35">
      <c r="A958" s="24" t="s">
        <v>5186</v>
      </c>
      <c r="B958" s="24" t="s">
        <v>5187</v>
      </c>
      <c r="C958" s="24" t="s">
        <v>5188</v>
      </c>
      <c r="E958" s="31" t="s">
        <v>5189</v>
      </c>
      <c r="F958" s="31"/>
      <c r="G958" s="31"/>
      <c r="H958" s="31"/>
      <c r="I958" s="31"/>
      <c r="J958" s="31"/>
      <c r="N958" s="23" t="s">
        <v>415</v>
      </c>
    </row>
    <row r="959" spans="1:14" x14ac:dyDescent="0.35">
      <c r="A959" s="24" t="s">
        <v>5190</v>
      </c>
      <c r="B959" s="24" t="s">
        <v>5191</v>
      </c>
      <c r="C959" s="24" t="s">
        <v>5192</v>
      </c>
      <c r="E959" s="31" t="s">
        <v>5193</v>
      </c>
      <c r="F959" s="31" t="s">
        <v>9422</v>
      </c>
      <c r="G959" s="31" t="s">
        <v>9423</v>
      </c>
      <c r="H959" s="31" t="s">
        <v>9424</v>
      </c>
      <c r="I959" s="31" t="s">
        <v>9425</v>
      </c>
      <c r="J959" s="31" t="s">
        <v>9426</v>
      </c>
      <c r="N959" s="23" t="s">
        <v>415</v>
      </c>
    </row>
    <row r="960" spans="1:14" x14ac:dyDescent="0.35">
      <c r="A960" s="24" t="s">
        <v>5194</v>
      </c>
      <c r="B960" s="24" t="s">
        <v>5195</v>
      </c>
      <c r="C960" s="24" t="s">
        <v>5196</v>
      </c>
      <c r="E960" s="31" t="s">
        <v>5197</v>
      </c>
      <c r="F960" s="31" t="s">
        <v>5198</v>
      </c>
      <c r="G960" s="31" t="s">
        <v>5199</v>
      </c>
      <c r="H960" s="31" t="s">
        <v>5200</v>
      </c>
      <c r="I960" s="31"/>
      <c r="J960" s="31"/>
      <c r="N960" s="23" t="s">
        <v>415</v>
      </c>
    </row>
    <row r="961" spans="1:14" x14ac:dyDescent="0.35">
      <c r="A961" s="24" t="s">
        <v>5201</v>
      </c>
      <c r="B961" s="24" t="s">
        <v>5202</v>
      </c>
      <c r="C961" s="24" t="s">
        <v>9524</v>
      </c>
      <c r="E961" s="31" t="s">
        <v>5203</v>
      </c>
      <c r="F961" s="31"/>
      <c r="G961" s="31"/>
      <c r="H961" s="31"/>
      <c r="I961" s="31"/>
      <c r="J961" s="31"/>
      <c r="N961" s="23" t="s">
        <v>415</v>
      </c>
    </row>
    <row r="962" spans="1:14" x14ac:dyDescent="0.35">
      <c r="A962" s="24" t="s">
        <v>5204</v>
      </c>
      <c r="B962" s="24" t="s">
        <v>5205</v>
      </c>
      <c r="C962" s="24" t="s">
        <v>5206</v>
      </c>
      <c r="E962" s="31" t="s">
        <v>5207</v>
      </c>
      <c r="F962" s="31"/>
      <c r="G962" s="31"/>
      <c r="H962" s="31"/>
      <c r="I962" s="31"/>
      <c r="J962" s="31"/>
      <c r="N962" s="23" t="s">
        <v>415</v>
      </c>
    </row>
    <row r="963" spans="1:14" x14ac:dyDescent="0.35">
      <c r="A963" s="24" t="s">
        <v>5208</v>
      </c>
      <c r="B963" s="24" t="s">
        <v>5209</v>
      </c>
      <c r="C963" s="24" t="s">
        <v>5210</v>
      </c>
      <c r="E963" s="31" t="s">
        <v>5211</v>
      </c>
      <c r="F963" s="31" t="s">
        <v>5212</v>
      </c>
      <c r="G963" s="31" t="s">
        <v>5213</v>
      </c>
      <c r="H963" s="31" t="s">
        <v>5214</v>
      </c>
      <c r="I963" s="31" t="s">
        <v>5215</v>
      </c>
      <c r="J963" s="31"/>
      <c r="N963" s="23" t="s">
        <v>415</v>
      </c>
    </row>
    <row r="964" spans="1:14" x14ac:dyDescent="0.35">
      <c r="A964" s="24" t="s">
        <v>5216</v>
      </c>
      <c r="B964" s="24" t="s">
        <v>5217</v>
      </c>
      <c r="C964" s="24" t="s">
        <v>5218</v>
      </c>
      <c r="E964" s="31" t="s">
        <v>5219</v>
      </c>
      <c r="F964" s="31" t="s">
        <v>5220</v>
      </c>
      <c r="G964" s="31" t="s">
        <v>5221</v>
      </c>
      <c r="H964" s="31" t="s">
        <v>5222</v>
      </c>
      <c r="I964" s="31" t="s">
        <v>5223</v>
      </c>
      <c r="J964" s="31"/>
      <c r="N964" s="23" t="s">
        <v>415</v>
      </c>
    </row>
    <row r="965" spans="1:14" x14ac:dyDescent="0.35">
      <c r="A965" s="24" t="s">
        <v>5224</v>
      </c>
      <c r="B965" s="24" t="s">
        <v>5225</v>
      </c>
      <c r="C965" s="24" t="s">
        <v>5226</v>
      </c>
      <c r="E965" s="31" t="s">
        <v>3417</v>
      </c>
      <c r="F965" s="31" t="s">
        <v>3418</v>
      </c>
      <c r="G965" s="31" t="s">
        <v>3419</v>
      </c>
      <c r="H965" s="31" t="s">
        <v>3420</v>
      </c>
      <c r="I965" s="31" t="s">
        <v>3421</v>
      </c>
      <c r="J965" s="31"/>
      <c r="N965" s="23" t="s">
        <v>415</v>
      </c>
    </row>
    <row r="966" spans="1:14" x14ac:dyDescent="0.35">
      <c r="A966" s="24" t="s">
        <v>5227</v>
      </c>
      <c r="B966" s="24" t="s">
        <v>5228</v>
      </c>
      <c r="C966" s="24" t="s">
        <v>5229</v>
      </c>
      <c r="E966" s="31" t="s">
        <v>16</v>
      </c>
      <c r="F966" s="31" t="s">
        <v>5230</v>
      </c>
      <c r="G966" s="31" t="s">
        <v>5231</v>
      </c>
      <c r="H966" s="31"/>
      <c r="I966" s="31"/>
      <c r="J966" s="31"/>
      <c r="N966" s="23" t="s">
        <v>415</v>
      </c>
    </row>
    <row r="967" spans="1:14" x14ac:dyDescent="0.35">
      <c r="A967" s="24" t="s">
        <v>5232</v>
      </c>
      <c r="B967" s="24" t="s">
        <v>5233</v>
      </c>
      <c r="C967" s="24" t="s">
        <v>5234</v>
      </c>
      <c r="E967" s="31" t="s">
        <v>5235</v>
      </c>
      <c r="F967" s="31" t="s">
        <v>5236</v>
      </c>
      <c r="G967" s="31" t="s">
        <v>5237</v>
      </c>
      <c r="H967" s="31" t="s">
        <v>5238</v>
      </c>
      <c r="I967" s="31" t="s">
        <v>5239</v>
      </c>
      <c r="J967" s="31"/>
      <c r="N967" s="23" t="s">
        <v>871</v>
      </c>
    </row>
    <row r="968" spans="1:14" x14ac:dyDescent="0.35">
      <c r="A968" s="24" t="s">
        <v>5240</v>
      </c>
      <c r="B968" s="24" t="s">
        <v>5241</v>
      </c>
      <c r="C968" s="24" t="s">
        <v>5242</v>
      </c>
      <c r="E968" s="31" t="s">
        <v>5243</v>
      </c>
      <c r="F968" s="31"/>
      <c r="G968" s="31"/>
      <c r="H968" s="31"/>
      <c r="I968" s="31"/>
      <c r="J968" s="31"/>
      <c r="N968" s="23" t="s">
        <v>415</v>
      </c>
    </row>
    <row r="969" spans="1:14" ht="16.2" x14ac:dyDescent="0.35">
      <c r="A969" s="24" t="s">
        <v>5244</v>
      </c>
      <c r="B969" s="24" t="s">
        <v>5245</v>
      </c>
      <c r="C969" s="24" t="s">
        <v>5246</v>
      </c>
      <c r="E969" s="31" t="s">
        <v>5247</v>
      </c>
      <c r="F969" s="31" t="s">
        <v>5248</v>
      </c>
      <c r="G969" s="31" t="s">
        <v>5249</v>
      </c>
      <c r="H969" s="31" t="s">
        <v>5250</v>
      </c>
      <c r="I969" s="7" t="s">
        <v>3441</v>
      </c>
      <c r="J969" s="31"/>
      <c r="N969" s="23" t="s">
        <v>415</v>
      </c>
    </row>
    <row r="970" spans="1:14" x14ac:dyDescent="0.35">
      <c r="A970" s="24" t="s">
        <v>5251</v>
      </c>
      <c r="B970" s="24" t="s">
        <v>5252</v>
      </c>
      <c r="C970" s="24" t="s">
        <v>5253</v>
      </c>
      <c r="E970" s="31" t="s">
        <v>5254</v>
      </c>
      <c r="F970" s="31" t="s">
        <v>5255</v>
      </c>
      <c r="G970" s="31" t="s">
        <v>5256</v>
      </c>
      <c r="H970" s="31" t="s">
        <v>5257</v>
      </c>
      <c r="I970" s="31" t="s">
        <v>5258</v>
      </c>
      <c r="J970" s="31"/>
      <c r="N970" s="23" t="s">
        <v>415</v>
      </c>
    </row>
    <row r="971" spans="1:14" x14ac:dyDescent="0.35">
      <c r="A971" s="24" t="s">
        <v>5259</v>
      </c>
      <c r="B971" s="24" t="s">
        <v>5260</v>
      </c>
      <c r="C971" s="24" t="s">
        <v>5261</v>
      </c>
      <c r="E971" s="31" t="s">
        <v>5262</v>
      </c>
      <c r="F971" s="31"/>
      <c r="G971" s="31"/>
      <c r="H971" s="31"/>
      <c r="I971" s="31"/>
      <c r="J971" s="31"/>
      <c r="N971" s="23" t="s">
        <v>415</v>
      </c>
    </row>
    <row r="972" spans="1:14" x14ac:dyDescent="0.35">
      <c r="A972" s="24" t="s">
        <v>5263</v>
      </c>
      <c r="B972" s="24" t="s">
        <v>5264</v>
      </c>
      <c r="C972" s="24" t="s">
        <v>5265</v>
      </c>
      <c r="E972" s="31" t="s">
        <v>5266</v>
      </c>
      <c r="F972" s="31"/>
      <c r="G972" s="31"/>
      <c r="H972" s="31"/>
      <c r="I972" s="31"/>
      <c r="J972" s="31"/>
      <c r="N972" s="23" t="s">
        <v>415</v>
      </c>
    </row>
    <row r="973" spans="1:14" x14ac:dyDescent="0.35">
      <c r="A973" s="24" t="s">
        <v>5267</v>
      </c>
      <c r="B973" s="24" t="s">
        <v>5268</v>
      </c>
      <c r="C973" s="24" t="s">
        <v>5269</v>
      </c>
      <c r="E973" s="31" t="s">
        <v>5270</v>
      </c>
      <c r="F973" s="31"/>
      <c r="G973" s="31"/>
      <c r="H973" s="31"/>
      <c r="I973" s="31"/>
      <c r="J973" s="31"/>
      <c r="N973" s="23" t="s">
        <v>415</v>
      </c>
    </row>
    <row r="974" spans="1:14" x14ac:dyDescent="0.35">
      <c r="A974" s="24" t="s">
        <v>9502</v>
      </c>
      <c r="B974" s="24" t="s">
        <v>5271</v>
      </c>
      <c r="C974" s="24" t="s">
        <v>5272</v>
      </c>
      <c r="E974" s="31" t="s">
        <v>5273</v>
      </c>
      <c r="F974" s="31"/>
      <c r="G974" s="31"/>
      <c r="H974" s="31"/>
      <c r="I974" s="31"/>
      <c r="J974" s="31"/>
      <c r="N974" s="23" t="s">
        <v>415</v>
      </c>
    </row>
    <row r="975" spans="1:14" x14ac:dyDescent="0.35">
      <c r="A975" s="24" t="s">
        <v>5274</v>
      </c>
      <c r="B975" s="24" t="s">
        <v>5275</v>
      </c>
      <c r="C975" s="24" t="s">
        <v>5276</v>
      </c>
      <c r="E975" s="31" t="s">
        <v>5277</v>
      </c>
      <c r="F975" s="31" t="s">
        <v>5278</v>
      </c>
      <c r="G975" s="31" t="s">
        <v>5279</v>
      </c>
      <c r="H975" s="31" t="s">
        <v>5280</v>
      </c>
      <c r="I975" s="31" t="s">
        <v>5281</v>
      </c>
      <c r="J975" s="31"/>
      <c r="N975" s="23" t="s">
        <v>3413</v>
      </c>
    </row>
    <row r="976" spans="1:14" x14ac:dyDescent="0.35">
      <c r="A976" s="24" t="s">
        <v>5282</v>
      </c>
      <c r="B976" s="24" t="s">
        <v>5283</v>
      </c>
      <c r="C976" s="24" t="s">
        <v>5284</v>
      </c>
      <c r="E976" s="31" t="s">
        <v>5285</v>
      </c>
      <c r="F976" s="31" t="s">
        <v>5286</v>
      </c>
      <c r="G976" s="31" t="s">
        <v>5287</v>
      </c>
      <c r="H976" s="31"/>
      <c r="I976" s="31"/>
      <c r="J976" s="31"/>
      <c r="N976" s="23" t="s">
        <v>415</v>
      </c>
    </row>
    <row r="977" spans="1:14" x14ac:dyDescent="0.35">
      <c r="A977" s="24" t="s">
        <v>5288</v>
      </c>
      <c r="B977" s="24" t="s">
        <v>5289</v>
      </c>
      <c r="C977" s="24" t="s">
        <v>5290</v>
      </c>
      <c r="E977" s="31" t="s">
        <v>805</v>
      </c>
      <c r="F977" s="31" t="s">
        <v>3154</v>
      </c>
      <c r="G977" s="31" t="s">
        <v>815</v>
      </c>
      <c r="H977" s="31" t="s">
        <v>5291</v>
      </c>
      <c r="I977" s="31" t="s">
        <v>720</v>
      </c>
      <c r="J977" s="31"/>
      <c r="N977" s="23" t="s">
        <v>415</v>
      </c>
    </row>
    <row r="978" spans="1:14" x14ac:dyDescent="0.35">
      <c r="A978" s="24" t="s">
        <v>5292</v>
      </c>
      <c r="B978" s="24" t="s">
        <v>5293</v>
      </c>
      <c r="C978" s="24" t="s">
        <v>5294</v>
      </c>
      <c r="E978" s="31" t="s">
        <v>5295</v>
      </c>
      <c r="F978" s="31" t="s">
        <v>5296</v>
      </c>
      <c r="G978" s="31" t="s">
        <v>5297</v>
      </c>
      <c r="H978" s="31" t="s">
        <v>5298</v>
      </c>
      <c r="I978" s="31" t="s">
        <v>5299</v>
      </c>
      <c r="J978" s="31"/>
      <c r="N978" s="23" t="s">
        <v>415</v>
      </c>
    </row>
    <row r="979" spans="1:14" x14ac:dyDescent="0.35">
      <c r="A979" s="24" t="s">
        <v>5300</v>
      </c>
      <c r="B979" s="24" t="s">
        <v>5301</v>
      </c>
      <c r="C979" s="24" t="s">
        <v>5302</v>
      </c>
      <c r="E979" s="31" t="s">
        <v>5303</v>
      </c>
      <c r="F979" s="31"/>
      <c r="G979" s="31"/>
      <c r="H979" s="31"/>
      <c r="I979" s="31"/>
      <c r="J979" s="31"/>
      <c r="N979" s="23" t="s">
        <v>415</v>
      </c>
    </row>
    <row r="980" spans="1:14" x14ac:dyDescent="0.35">
      <c r="A980" s="24" t="s">
        <v>5304</v>
      </c>
      <c r="B980" s="24" t="s">
        <v>5305</v>
      </c>
      <c r="C980" s="24" t="s">
        <v>5306</v>
      </c>
      <c r="E980" s="31" t="s">
        <v>5307</v>
      </c>
      <c r="F980" s="31"/>
      <c r="G980" s="31"/>
      <c r="H980" s="31"/>
      <c r="I980" s="31"/>
      <c r="J980" s="31"/>
      <c r="N980" s="23" t="s">
        <v>415</v>
      </c>
    </row>
    <row r="981" spans="1:14" x14ac:dyDescent="0.35">
      <c r="A981" s="24" t="s">
        <v>5308</v>
      </c>
      <c r="B981" s="24" t="s">
        <v>5309</v>
      </c>
      <c r="C981" s="24" t="s">
        <v>5310</v>
      </c>
      <c r="E981" s="31" t="s">
        <v>5311</v>
      </c>
      <c r="F981" s="31" t="s">
        <v>5312</v>
      </c>
      <c r="G981" s="31" t="s">
        <v>5313</v>
      </c>
      <c r="H981" s="31" t="s">
        <v>5314</v>
      </c>
      <c r="I981" s="31" t="s">
        <v>5315</v>
      </c>
      <c r="J981" s="31"/>
      <c r="N981" s="23" t="s">
        <v>415</v>
      </c>
    </row>
    <row r="982" spans="1:14" x14ac:dyDescent="0.35">
      <c r="A982" s="24" t="s">
        <v>5316</v>
      </c>
      <c r="B982" s="24" t="s">
        <v>5317</v>
      </c>
      <c r="C982" s="24" t="s">
        <v>5318</v>
      </c>
      <c r="E982" s="31" t="s">
        <v>5319</v>
      </c>
      <c r="F982" s="31" t="s">
        <v>5320</v>
      </c>
      <c r="G982" s="31" t="s">
        <v>5321</v>
      </c>
      <c r="H982" s="31" t="s">
        <v>5322</v>
      </c>
      <c r="I982" s="31" t="s">
        <v>5323</v>
      </c>
      <c r="J982" s="31"/>
      <c r="N982" s="23" t="s">
        <v>415</v>
      </c>
    </row>
    <row r="983" spans="1:14" x14ac:dyDescent="0.35">
      <c r="A983" s="24" t="s">
        <v>5326</v>
      </c>
      <c r="B983" s="24" t="s">
        <v>5327</v>
      </c>
      <c r="C983" s="24" t="s">
        <v>5328</v>
      </c>
      <c r="E983" s="31" t="s">
        <v>5329</v>
      </c>
      <c r="F983" s="31" t="s">
        <v>5330</v>
      </c>
      <c r="G983" s="31" t="s">
        <v>5331</v>
      </c>
      <c r="H983" s="31" t="s">
        <v>5332</v>
      </c>
      <c r="I983" s="31" t="s">
        <v>5333</v>
      </c>
      <c r="J983" s="31"/>
      <c r="N983" s="23" t="s">
        <v>3413</v>
      </c>
    </row>
    <row r="984" spans="1:14" x14ac:dyDescent="0.35">
      <c r="A984" s="24" t="s">
        <v>5338</v>
      </c>
      <c r="B984" s="24" t="s">
        <v>5339</v>
      </c>
      <c r="C984" s="24" t="s">
        <v>5340</v>
      </c>
      <c r="E984" s="31" t="s">
        <v>5341</v>
      </c>
      <c r="F984" s="31" t="s">
        <v>5342</v>
      </c>
      <c r="G984" s="31" t="s">
        <v>5343</v>
      </c>
      <c r="H984" s="31"/>
      <c r="I984" s="31"/>
      <c r="J984" s="31"/>
      <c r="N984" s="23" t="s">
        <v>415</v>
      </c>
    </row>
    <row r="985" spans="1:14" x14ac:dyDescent="0.35">
      <c r="A985" s="24" t="s">
        <v>5344</v>
      </c>
      <c r="B985" s="24" t="s">
        <v>5345</v>
      </c>
      <c r="C985" s="24" t="s">
        <v>5346</v>
      </c>
      <c r="E985" s="31" t="s">
        <v>5347</v>
      </c>
      <c r="F985" s="31"/>
      <c r="G985" s="31"/>
      <c r="H985" s="31"/>
      <c r="I985" s="31"/>
      <c r="J985" s="31"/>
      <c r="N985" s="23" t="s">
        <v>415</v>
      </c>
    </row>
    <row r="986" spans="1:14" x14ac:dyDescent="0.35">
      <c r="A986" s="24" t="s">
        <v>5348</v>
      </c>
      <c r="B986" s="24" t="s">
        <v>5349</v>
      </c>
      <c r="C986" s="24" t="s">
        <v>5350</v>
      </c>
      <c r="E986" s="31" t="s">
        <v>5351</v>
      </c>
      <c r="F986" s="31" t="s">
        <v>5352</v>
      </c>
      <c r="G986" s="31" t="s">
        <v>5353</v>
      </c>
      <c r="H986" s="31" t="s">
        <v>5354</v>
      </c>
      <c r="I986" s="31" t="s">
        <v>5355</v>
      </c>
      <c r="J986" s="31"/>
      <c r="N986" s="23" t="s">
        <v>415</v>
      </c>
    </row>
    <row r="987" spans="1:14" x14ac:dyDescent="0.35">
      <c r="A987" s="24" t="s">
        <v>5356</v>
      </c>
      <c r="B987" s="24" t="s">
        <v>5357</v>
      </c>
      <c r="C987" s="24" t="s">
        <v>5358</v>
      </c>
      <c r="E987" s="31" t="s">
        <v>5359</v>
      </c>
      <c r="F987" s="31" t="s">
        <v>5360</v>
      </c>
      <c r="G987" s="31" t="s">
        <v>5361</v>
      </c>
      <c r="H987" s="31" t="s">
        <v>5362</v>
      </c>
      <c r="I987" s="31" t="s">
        <v>5363</v>
      </c>
      <c r="J987" s="31"/>
      <c r="N987" s="23" t="s">
        <v>415</v>
      </c>
    </row>
    <row r="988" spans="1:14" x14ac:dyDescent="0.35">
      <c r="A988" s="24" t="s">
        <v>5364</v>
      </c>
      <c r="B988" s="24" t="s">
        <v>5365</v>
      </c>
      <c r="C988" s="24" t="s">
        <v>5366</v>
      </c>
      <c r="E988" s="31" t="s">
        <v>5367</v>
      </c>
      <c r="F988" s="31" t="s">
        <v>5368</v>
      </c>
      <c r="G988" s="31" t="s">
        <v>5369</v>
      </c>
      <c r="H988" s="31" t="s">
        <v>5370</v>
      </c>
      <c r="I988" s="31" t="s">
        <v>5371</v>
      </c>
      <c r="J988" s="31"/>
      <c r="N988" s="23" t="s">
        <v>415</v>
      </c>
    </row>
    <row r="989" spans="1:14" x14ac:dyDescent="0.35">
      <c r="A989" s="24" t="s">
        <v>5372</v>
      </c>
      <c r="B989" s="24" t="s">
        <v>5373</v>
      </c>
      <c r="C989" s="24" t="s">
        <v>5374</v>
      </c>
      <c r="E989" s="31" t="s">
        <v>5375</v>
      </c>
      <c r="F989" s="31" t="s">
        <v>5376</v>
      </c>
      <c r="G989" s="31" t="s">
        <v>5377</v>
      </c>
      <c r="H989" s="31" t="s">
        <v>5378</v>
      </c>
      <c r="I989" s="31" t="s">
        <v>5379</v>
      </c>
      <c r="J989" s="31"/>
      <c r="N989" s="23" t="s">
        <v>415</v>
      </c>
    </row>
    <row r="990" spans="1:14" x14ac:dyDescent="0.35">
      <c r="A990" s="24" t="s">
        <v>5380</v>
      </c>
      <c r="B990" s="24" t="s">
        <v>5381</v>
      </c>
      <c r="C990" s="24" t="s">
        <v>5382</v>
      </c>
      <c r="E990" s="31" t="s">
        <v>5383</v>
      </c>
      <c r="F990" s="31" t="s">
        <v>5384</v>
      </c>
      <c r="G990" s="31" t="s">
        <v>5385</v>
      </c>
      <c r="H990" s="31" t="s">
        <v>5386</v>
      </c>
      <c r="I990" s="31" t="s">
        <v>5387</v>
      </c>
      <c r="J990" s="31"/>
      <c r="N990" s="23" t="s">
        <v>415</v>
      </c>
    </row>
    <row r="991" spans="1:14" x14ac:dyDescent="0.35">
      <c r="A991" s="24" t="s">
        <v>5388</v>
      </c>
      <c r="B991" s="24" t="s">
        <v>5389</v>
      </c>
      <c r="C991" s="24" t="s">
        <v>5390</v>
      </c>
      <c r="E991" s="31" t="s">
        <v>5391</v>
      </c>
      <c r="F991" s="31" t="s">
        <v>5392</v>
      </c>
      <c r="G991" s="31" t="s">
        <v>5393</v>
      </c>
      <c r="H991" s="31" t="s">
        <v>5394</v>
      </c>
      <c r="I991" s="31" t="s">
        <v>5395</v>
      </c>
      <c r="J991" s="31"/>
      <c r="N991" s="23" t="s">
        <v>415</v>
      </c>
    </row>
    <row r="992" spans="1:14" x14ac:dyDescent="0.35">
      <c r="A992" s="24" t="s">
        <v>5396</v>
      </c>
      <c r="B992" s="24" t="s">
        <v>5397</v>
      </c>
      <c r="C992" s="24" t="s">
        <v>5398</v>
      </c>
      <c r="E992" s="31" t="s">
        <v>5399</v>
      </c>
      <c r="F992" s="31" t="s">
        <v>5400</v>
      </c>
      <c r="G992" s="31"/>
      <c r="H992" s="31"/>
      <c r="I992" s="31"/>
      <c r="J992" s="31"/>
      <c r="N992" s="23" t="s">
        <v>415</v>
      </c>
    </row>
    <row r="993" spans="1:14" x14ac:dyDescent="0.35">
      <c r="A993" s="24" t="s">
        <v>5401</v>
      </c>
      <c r="B993" s="24" t="s">
        <v>5402</v>
      </c>
      <c r="C993" s="24" t="s">
        <v>5403</v>
      </c>
      <c r="E993" s="31" t="s">
        <v>5404</v>
      </c>
      <c r="F993" s="31" t="s">
        <v>5405</v>
      </c>
      <c r="G993" s="31" t="s">
        <v>5406</v>
      </c>
      <c r="H993" s="31"/>
      <c r="I993" s="31"/>
      <c r="J993" s="31"/>
      <c r="N993" s="23" t="s">
        <v>415</v>
      </c>
    </row>
    <row r="994" spans="1:14" x14ac:dyDescent="0.35">
      <c r="A994" s="24" t="s">
        <v>5407</v>
      </c>
      <c r="B994" s="24" t="s">
        <v>5408</v>
      </c>
      <c r="C994" s="24" t="s">
        <v>5409</v>
      </c>
      <c r="E994" s="31" t="s">
        <v>5410</v>
      </c>
      <c r="F994" s="31" t="s">
        <v>5411</v>
      </c>
      <c r="G994" s="31" t="s">
        <v>5412</v>
      </c>
      <c r="H994" s="31"/>
      <c r="I994" s="31"/>
      <c r="J994" s="31"/>
      <c r="N994" s="23" t="s">
        <v>415</v>
      </c>
    </row>
    <row r="995" spans="1:14" x14ac:dyDescent="0.35">
      <c r="A995" s="24" t="s">
        <v>5413</v>
      </c>
      <c r="B995" s="24" t="s">
        <v>5414</v>
      </c>
      <c r="C995" s="24" t="s">
        <v>5415</v>
      </c>
      <c r="E995" s="31" t="s">
        <v>5416</v>
      </c>
      <c r="F995" s="31" t="s">
        <v>5417</v>
      </c>
      <c r="G995" s="31" t="s">
        <v>5418</v>
      </c>
      <c r="H995" s="31" t="s">
        <v>5419</v>
      </c>
      <c r="I995" s="31" t="s">
        <v>5420</v>
      </c>
      <c r="J995" s="31"/>
      <c r="N995" s="23" t="s">
        <v>415</v>
      </c>
    </row>
    <row r="996" spans="1:14" x14ac:dyDescent="0.35">
      <c r="A996" s="24" t="s">
        <v>5421</v>
      </c>
      <c r="B996" s="24" t="s">
        <v>5422</v>
      </c>
      <c r="C996" s="24" t="s">
        <v>5423</v>
      </c>
      <c r="E996" s="31" t="s">
        <v>5424</v>
      </c>
      <c r="F996" s="31" t="s">
        <v>5425</v>
      </c>
      <c r="G996" s="31" t="s">
        <v>5426</v>
      </c>
      <c r="H996" s="31" t="s">
        <v>5427</v>
      </c>
      <c r="I996" s="31" t="s">
        <v>5428</v>
      </c>
      <c r="J996" s="31"/>
      <c r="N996" s="23" t="s">
        <v>415</v>
      </c>
    </row>
    <row r="997" spans="1:14" x14ac:dyDescent="0.35">
      <c r="A997" s="24" t="s">
        <v>5429</v>
      </c>
      <c r="B997" s="24" t="s">
        <v>5430</v>
      </c>
      <c r="C997" s="24" t="s">
        <v>5431</v>
      </c>
      <c r="E997" s="31" t="s">
        <v>5432</v>
      </c>
      <c r="F997" s="31" t="s">
        <v>5433</v>
      </c>
      <c r="G997" s="31" t="s">
        <v>5434</v>
      </c>
      <c r="H997" s="31" t="s">
        <v>5435</v>
      </c>
      <c r="I997" s="31" t="s">
        <v>5436</v>
      </c>
      <c r="J997" s="31"/>
      <c r="N997" s="23" t="s">
        <v>415</v>
      </c>
    </row>
    <row r="998" spans="1:14" x14ac:dyDescent="0.35">
      <c r="A998" s="24" t="s">
        <v>5437</v>
      </c>
      <c r="B998" s="24" t="s">
        <v>5438</v>
      </c>
      <c r="C998" s="24" t="s">
        <v>5439</v>
      </c>
      <c r="E998" s="31" t="s">
        <v>5440</v>
      </c>
      <c r="F998" s="31" t="s">
        <v>5441</v>
      </c>
      <c r="G998" s="31" t="s">
        <v>5442</v>
      </c>
      <c r="H998" s="31" t="s">
        <v>5443</v>
      </c>
      <c r="I998" s="31" t="s">
        <v>5444</v>
      </c>
      <c r="J998" s="31"/>
      <c r="L998" s="31"/>
      <c r="N998" s="23" t="s">
        <v>415</v>
      </c>
    </row>
    <row r="999" spans="1:14" x14ac:dyDescent="0.35">
      <c r="A999" s="24" t="s">
        <v>5445</v>
      </c>
      <c r="B999" s="24" t="s">
        <v>5446</v>
      </c>
      <c r="C999" s="24" t="s">
        <v>5447</v>
      </c>
      <c r="E999" s="31" t="s">
        <v>5448</v>
      </c>
      <c r="F999" s="31" t="s">
        <v>5449</v>
      </c>
      <c r="G999" s="31"/>
      <c r="H999" s="31"/>
      <c r="I999" s="31"/>
      <c r="J999" s="31"/>
      <c r="N999" s="23" t="s">
        <v>1434</v>
      </c>
    </row>
    <row r="1000" spans="1:14" x14ac:dyDescent="0.35">
      <c r="A1000" s="24" t="s">
        <v>5450</v>
      </c>
      <c r="B1000" s="24" t="s">
        <v>5451</v>
      </c>
      <c r="C1000" s="24" t="s">
        <v>5452</v>
      </c>
      <c r="E1000" s="31" t="s">
        <v>5453</v>
      </c>
      <c r="F1000" s="31" t="s">
        <v>5454</v>
      </c>
      <c r="G1000" s="31" t="s">
        <v>5455</v>
      </c>
      <c r="H1000" s="31" t="s">
        <v>5456</v>
      </c>
      <c r="I1000" s="31" t="s">
        <v>5457</v>
      </c>
      <c r="J1000" s="31"/>
      <c r="L1000" s="31"/>
      <c r="N1000" s="23" t="s">
        <v>415</v>
      </c>
    </row>
    <row r="1001" spans="1:14" x14ac:dyDescent="0.35">
      <c r="A1001" s="24" t="s">
        <v>5458</v>
      </c>
      <c r="B1001" s="24" t="s">
        <v>5459</v>
      </c>
      <c r="C1001" s="24" t="s">
        <v>5460</v>
      </c>
      <c r="E1001" s="31" t="s">
        <v>5461</v>
      </c>
      <c r="F1001" s="31"/>
      <c r="G1001" s="31"/>
      <c r="H1001" s="31"/>
      <c r="I1001" s="31"/>
      <c r="J1001" s="31"/>
      <c r="N1001" s="23" t="s">
        <v>415</v>
      </c>
    </row>
    <row r="1002" spans="1:14" x14ac:dyDescent="0.35">
      <c r="A1002" s="24" t="s">
        <v>5462</v>
      </c>
      <c r="B1002" s="24" t="s">
        <v>5463</v>
      </c>
      <c r="C1002" s="24" t="s">
        <v>5464</v>
      </c>
      <c r="E1002" s="31" t="s">
        <v>5465</v>
      </c>
      <c r="F1002" s="31"/>
      <c r="G1002" s="31"/>
      <c r="H1002" s="31"/>
      <c r="I1002" s="31"/>
      <c r="J1002" s="31"/>
      <c r="N1002" s="23" t="s">
        <v>415</v>
      </c>
    </row>
    <row r="1003" spans="1:14" x14ac:dyDescent="0.35">
      <c r="A1003" s="24" t="s">
        <v>5466</v>
      </c>
      <c r="B1003" s="24" t="s">
        <v>5467</v>
      </c>
      <c r="C1003" s="24" t="s">
        <v>5468</v>
      </c>
      <c r="E1003" s="31" t="s">
        <v>5469</v>
      </c>
      <c r="F1003" s="31" t="s">
        <v>5470</v>
      </c>
      <c r="G1003" s="31" t="s">
        <v>5471</v>
      </c>
      <c r="H1003" s="31" t="s">
        <v>5472</v>
      </c>
      <c r="I1003" s="31" t="s">
        <v>5473</v>
      </c>
      <c r="J1003" s="31"/>
      <c r="N1003" s="23" t="s">
        <v>415</v>
      </c>
    </row>
    <row r="1004" spans="1:14" x14ac:dyDescent="0.35">
      <c r="A1004" s="24" t="s">
        <v>5474</v>
      </c>
      <c r="B1004" s="24" t="s">
        <v>5475</v>
      </c>
      <c r="C1004" s="24" t="s">
        <v>5476</v>
      </c>
      <c r="E1004" s="31" t="s">
        <v>5477</v>
      </c>
      <c r="F1004" s="31" t="s">
        <v>5478</v>
      </c>
      <c r="G1004" s="31" t="s">
        <v>5479</v>
      </c>
      <c r="H1004" s="31" t="s">
        <v>5480</v>
      </c>
      <c r="I1004" s="31" t="s">
        <v>5481</v>
      </c>
      <c r="J1004" s="31"/>
      <c r="N1004" s="23" t="s">
        <v>415</v>
      </c>
    </row>
    <row r="1005" spans="1:14" x14ac:dyDescent="0.35">
      <c r="A1005" s="24" t="s">
        <v>5482</v>
      </c>
      <c r="B1005" s="24" t="s">
        <v>5483</v>
      </c>
      <c r="C1005" s="24" t="s">
        <v>5484</v>
      </c>
      <c r="E1005" s="31" t="s">
        <v>5485</v>
      </c>
      <c r="F1005" s="31" t="s">
        <v>5486</v>
      </c>
      <c r="G1005" s="31" t="s">
        <v>5487</v>
      </c>
      <c r="H1005" s="31" t="s">
        <v>5488</v>
      </c>
      <c r="I1005" s="31" t="s">
        <v>5489</v>
      </c>
      <c r="J1005" s="31"/>
      <c r="N1005" s="23" t="s">
        <v>415</v>
      </c>
    </row>
    <row r="1006" spans="1:14" x14ac:dyDescent="0.35">
      <c r="A1006" s="24" t="s">
        <v>5490</v>
      </c>
      <c r="B1006" s="24" t="s">
        <v>5491</v>
      </c>
      <c r="C1006" s="24" t="s">
        <v>5492</v>
      </c>
      <c r="E1006" s="31" t="s">
        <v>5493</v>
      </c>
      <c r="F1006" s="31" t="s">
        <v>5494</v>
      </c>
      <c r="G1006" s="31" t="s">
        <v>5495</v>
      </c>
      <c r="H1006" s="31"/>
      <c r="I1006" s="31"/>
      <c r="J1006" s="31"/>
      <c r="N1006" s="23" t="s">
        <v>415</v>
      </c>
    </row>
    <row r="1007" spans="1:14" x14ac:dyDescent="0.35">
      <c r="A1007" s="24" t="s">
        <v>5496</v>
      </c>
      <c r="B1007" s="24" t="s">
        <v>5497</v>
      </c>
      <c r="C1007" s="24" t="s">
        <v>5498</v>
      </c>
      <c r="E1007" s="31" t="s">
        <v>5499</v>
      </c>
      <c r="F1007" s="31" t="s">
        <v>5500</v>
      </c>
      <c r="G1007" s="31" t="s">
        <v>5501</v>
      </c>
      <c r="H1007" s="31" t="s">
        <v>5502</v>
      </c>
      <c r="I1007" s="31" t="s">
        <v>5503</v>
      </c>
      <c r="J1007" s="31"/>
      <c r="N1007" s="23" t="s">
        <v>415</v>
      </c>
    </row>
    <row r="1008" spans="1:14" x14ac:dyDescent="0.35">
      <c r="A1008" s="24" t="s">
        <v>5504</v>
      </c>
      <c r="B1008" s="24" t="s">
        <v>5505</v>
      </c>
      <c r="C1008" s="24" t="s">
        <v>5506</v>
      </c>
      <c r="E1008" s="31" t="s">
        <v>5507</v>
      </c>
      <c r="F1008" s="31" t="s">
        <v>5508</v>
      </c>
      <c r="G1008" s="31" t="s">
        <v>5509</v>
      </c>
      <c r="H1008" s="31" t="s">
        <v>5510</v>
      </c>
      <c r="I1008" s="31" t="s">
        <v>5511</v>
      </c>
      <c r="J1008" s="31"/>
      <c r="N1008" s="23" t="s">
        <v>1434</v>
      </c>
    </row>
    <row r="1009" spans="1:14" x14ac:dyDescent="0.35">
      <c r="A1009" s="24" t="s">
        <v>5512</v>
      </c>
      <c r="B1009" s="24" t="s">
        <v>5513</v>
      </c>
      <c r="C1009" s="24" t="s">
        <v>5514</v>
      </c>
      <c r="E1009" s="31" t="s">
        <v>5515</v>
      </c>
      <c r="F1009" s="31" t="s">
        <v>5516</v>
      </c>
      <c r="G1009" s="31" t="s">
        <v>5517</v>
      </c>
      <c r="H1009" s="31" t="s">
        <v>5518</v>
      </c>
      <c r="I1009" s="31" t="s">
        <v>5519</v>
      </c>
      <c r="J1009" s="31"/>
      <c r="N1009" s="23" t="s">
        <v>415</v>
      </c>
    </row>
    <row r="1010" spans="1:14" x14ac:dyDescent="0.35">
      <c r="A1010" s="24" t="s">
        <v>5520</v>
      </c>
      <c r="B1010" s="24" t="s">
        <v>5521</v>
      </c>
      <c r="C1010" s="24" t="s">
        <v>5522</v>
      </c>
      <c r="E1010" s="31" t="s">
        <v>5523</v>
      </c>
      <c r="F1010" s="31" t="s">
        <v>5524</v>
      </c>
      <c r="G1010" s="31" t="s">
        <v>5525</v>
      </c>
      <c r="H1010" s="31" t="s">
        <v>5526</v>
      </c>
      <c r="I1010" s="31" t="s">
        <v>5527</v>
      </c>
      <c r="J1010" s="31"/>
      <c r="N1010" s="23" t="s">
        <v>415</v>
      </c>
    </row>
    <row r="1011" spans="1:14" x14ac:dyDescent="0.35">
      <c r="A1011" s="24" t="s">
        <v>5528</v>
      </c>
      <c r="B1011" s="24" t="s">
        <v>5529</v>
      </c>
      <c r="C1011" s="24" t="s">
        <v>5530</v>
      </c>
      <c r="E1011" s="31" t="s">
        <v>5531</v>
      </c>
      <c r="F1011" s="31"/>
      <c r="G1011" s="31"/>
      <c r="H1011" s="31"/>
      <c r="I1011" s="31"/>
      <c r="J1011" s="31"/>
      <c r="N1011" s="23" t="s">
        <v>871</v>
      </c>
    </row>
    <row r="1012" spans="1:14" x14ac:dyDescent="0.35">
      <c r="A1012" s="24" t="s">
        <v>5532</v>
      </c>
      <c r="B1012" s="24" t="s">
        <v>5533</v>
      </c>
      <c r="C1012" s="24" t="s">
        <v>5534</v>
      </c>
      <c r="E1012" s="31" t="s">
        <v>5535</v>
      </c>
      <c r="F1012" s="31"/>
      <c r="G1012" s="31"/>
      <c r="H1012" s="31"/>
      <c r="I1012" s="31"/>
      <c r="J1012" s="31"/>
      <c r="N1012" s="23" t="s">
        <v>415</v>
      </c>
    </row>
    <row r="1013" spans="1:14" x14ac:dyDescent="0.35">
      <c r="A1013" s="24" t="s">
        <v>5536</v>
      </c>
      <c r="B1013" s="24" t="s">
        <v>5537</v>
      </c>
      <c r="C1013" s="24" t="s">
        <v>5538</v>
      </c>
      <c r="E1013" s="31" t="s">
        <v>5539</v>
      </c>
      <c r="F1013" s="31" t="s">
        <v>5540</v>
      </c>
      <c r="G1013" s="31" t="s">
        <v>5541</v>
      </c>
      <c r="H1013" s="31" t="s">
        <v>5542</v>
      </c>
      <c r="I1013" s="31" t="s">
        <v>5543</v>
      </c>
      <c r="J1013" s="31"/>
      <c r="N1013" s="23" t="s">
        <v>1434</v>
      </c>
    </row>
    <row r="1014" spans="1:14" x14ac:dyDescent="0.35">
      <c r="A1014" s="24" t="s">
        <v>5544</v>
      </c>
      <c r="B1014" s="24" t="s">
        <v>5545</v>
      </c>
      <c r="C1014" s="24" t="s">
        <v>5546</v>
      </c>
      <c r="E1014" s="31" t="s">
        <v>5547</v>
      </c>
      <c r="F1014" s="31" t="s">
        <v>5548</v>
      </c>
      <c r="G1014" s="31"/>
      <c r="H1014" s="31"/>
      <c r="I1014" s="31"/>
      <c r="J1014" s="31"/>
      <c r="N1014" s="23" t="s">
        <v>415</v>
      </c>
    </row>
    <row r="1015" spans="1:14" x14ac:dyDescent="0.35">
      <c r="A1015" s="24" t="s">
        <v>5549</v>
      </c>
      <c r="B1015" s="24" t="s">
        <v>5550</v>
      </c>
      <c r="C1015" s="24" t="s">
        <v>5551</v>
      </c>
      <c r="E1015" s="31" t="s">
        <v>5552</v>
      </c>
      <c r="F1015" s="31" t="s">
        <v>5553</v>
      </c>
      <c r="G1015" s="31" t="s">
        <v>5554</v>
      </c>
      <c r="H1015" s="31" t="s">
        <v>5555</v>
      </c>
      <c r="I1015" s="31" t="s">
        <v>5556</v>
      </c>
      <c r="J1015" s="31"/>
      <c r="N1015" s="23" t="s">
        <v>415</v>
      </c>
    </row>
    <row r="1016" spans="1:14" x14ac:dyDescent="0.35">
      <c r="A1016" s="24" t="s">
        <v>5557</v>
      </c>
      <c r="B1016" s="24" t="s">
        <v>5558</v>
      </c>
      <c r="C1016" s="24" t="s">
        <v>5559</v>
      </c>
      <c r="E1016" s="31" t="s">
        <v>5560</v>
      </c>
      <c r="F1016" s="31" t="s">
        <v>5561</v>
      </c>
      <c r="G1016" s="31"/>
      <c r="H1016" s="31"/>
      <c r="I1016" s="31"/>
      <c r="J1016" s="31"/>
      <c r="N1016" s="23" t="s">
        <v>415</v>
      </c>
    </row>
    <row r="1017" spans="1:14" x14ac:dyDescent="0.35">
      <c r="A1017" s="24" t="s">
        <v>5562</v>
      </c>
      <c r="B1017" s="24" t="s">
        <v>5563</v>
      </c>
      <c r="C1017" s="24" t="s">
        <v>5564</v>
      </c>
      <c r="E1017" s="31" t="s">
        <v>5565</v>
      </c>
      <c r="F1017" s="31"/>
      <c r="G1017" s="31"/>
      <c r="H1017" s="31"/>
      <c r="I1017" s="31"/>
      <c r="J1017" s="31"/>
      <c r="N1017" s="23" t="s">
        <v>1434</v>
      </c>
    </row>
    <row r="1018" spans="1:14" x14ac:dyDescent="0.35">
      <c r="A1018" s="24" t="s">
        <v>5566</v>
      </c>
      <c r="B1018" s="24" t="s">
        <v>5567</v>
      </c>
      <c r="C1018" s="24" t="s">
        <v>5568</v>
      </c>
      <c r="E1018" s="31" t="s">
        <v>5569</v>
      </c>
      <c r="F1018" s="31" t="s">
        <v>5570</v>
      </c>
      <c r="G1018" s="31" t="s">
        <v>5571</v>
      </c>
      <c r="H1018" s="31" t="s">
        <v>5572</v>
      </c>
      <c r="I1018" s="31"/>
      <c r="J1018" s="31"/>
      <c r="N1018" s="23" t="s">
        <v>1696</v>
      </c>
    </row>
    <row r="1019" spans="1:14" x14ac:dyDescent="0.35">
      <c r="A1019" s="24" t="s">
        <v>5575</v>
      </c>
      <c r="B1019" s="24" t="s">
        <v>5576</v>
      </c>
      <c r="C1019" s="24" t="s">
        <v>5577</v>
      </c>
      <c r="E1019" s="31" t="s">
        <v>5578</v>
      </c>
      <c r="F1019" s="31" t="s">
        <v>5579</v>
      </c>
      <c r="G1019" s="31" t="s">
        <v>5580</v>
      </c>
      <c r="H1019" s="31" t="s">
        <v>5581</v>
      </c>
      <c r="I1019" s="31" t="s">
        <v>5582</v>
      </c>
      <c r="J1019" s="31"/>
      <c r="N1019" s="23" t="s">
        <v>415</v>
      </c>
    </row>
    <row r="1020" spans="1:14" x14ac:dyDescent="0.35">
      <c r="A1020" s="24" t="s">
        <v>5583</v>
      </c>
      <c r="B1020" s="24" t="s">
        <v>5584</v>
      </c>
      <c r="C1020" s="24" t="s">
        <v>5585</v>
      </c>
      <c r="E1020" s="31" t="s">
        <v>5586</v>
      </c>
      <c r="F1020" s="31" t="s">
        <v>5587</v>
      </c>
      <c r="G1020" s="31" t="s">
        <v>5588</v>
      </c>
      <c r="H1020" s="31" t="s">
        <v>5589</v>
      </c>
      <c r="I1020" s="31" t="s">
        <v>5590</v>
      </c>
      <c r="J1020" s="31"/>
      <c r="N1020" s="23" t="s">
        <v>415</v>
      </c>
    </row>
    <row r="1021" spans="1:14" x14ac:dyDescent="0.35">
      <c r="A1021" s="24" t="s">
        <v>5591</v>
      </c>
      <c r="B1021" s="24" t="s">
        <v>5592</v>
      </c>
      <c r="C1021" s="24" t="s">
        <v>5593</v>
      </c>
      <c r="E1021" s="31" t="s">
        <v>5594</v>
      </c>
      <c r="F1021" s="31" t="s">
        <v>5595</v>
      </c>
      <c r="G1021" s="31" t="s">
        <v>5596</v>
      </c>
      <c r="H1021" s="31" t="s">
        <v>5597</v>
      </c>
      <c r="I1021" s="31" t="s">
        <v>5598</v>
      </c>
      <c r="J1021" s="31"/>
      <c r="N1021" s="23" t="s">
        <v>415</v>
      </c>
    </row>
    <row r="1022" spans="1:14" x14ac:dyDescent="0.35">
      <c r="A1022" s="24" t="s">
        <v>5599</v>
      </c>
      <c r="B1022" s="24" t="s">
        <v>5600</v>
      </c>
      <c r="C1022" s="24" t="s">
        <v>5601</v>
      </c>
      <c r="E1022" s="31" t="s">
        <v>5602</v>
      </c>
      <c r="F1022" s="31"/>
      <c r="G1022" s="31"/>
      <c r="H1022" s="31"/>
      <c r="I1022" s="31"/>
      <c r="J1022" s="31"/>
      <c r="N1022" s="23" t="s">
        <v>415</v>
      </c>
    </row>
    <row r="1023" spans="1:14" x14ac:dyDescent="0.35">
      <c r="A1023" s="24" t="s">
        <v>5603</v>
      </c>
      <c r="B1023" s="24" t="s">
        <v>5604</v>
      </c>
      <c r="C1023" s="24" t="s">
        <v>5605</v>
      </c>
      <c r="E1023" s="31" t="s">
        <v>5606</v>
      </c>
      <c r="F1023" s="31" t="s">
        <v>5607</v>
      </c>
      <c r="G1023" s="31"/>
      <c r="H1023" s="31"/>
      <c r="I1023" s="31"/>
      <c r="J1023" s="31"/>
      <c r="N1023" s="23" t="s">
        <v>415</v>
      </c>
    </row>
    <row r="1024" spans="1:14" x14ac:dyDescent="0.35">
      <c r="A1024" s="24" t="s">
        <v>5608</v>
      </c>
      <c r="B1024" s="24" t="s">
        <v>5609</v>
      </c>
      <c r="C1024" s="24" t="s">
        <v>5610</v>
      </c>
      <c r="E1024" s="31" t="s">
        <v>5611</v>
      </c>
      <c r="F1024" s="31" t="s">
        <v>5612</v>
      </c>
      <c r="G1024" s="31" t="s">
        <v>5613</v>
      </c>
      <c r="H1024" s="31" t="s">
        <v>5614</v>
      </c>
      <c r="I1024" s="31"/>
      <c r="J1024" s="31"/>
      <c r="N1024" s="23" t="s">
        <v>415</v>
      </c>
    </row>
    <row r="1025" spans="1:14" x14ac:dyDescent="0.35">
      <c r="A1025" s="24" t="s">
        <v>5615</v>
      </c>
      <c r="B1025" s="24" t="s">
        <v>5616</v>
      </c>
      <c r="C1025" s="24" t="s">
        <v>5617</v>
      </c>
      <c r="E1025" s="31" t="s">
        <v>5618</v>
      </c>
      <c r="F1025" s="31" t="s">
        <v>5619</v>
      </c>
      <c r="G1025" s="31" t="s">
        <v>5620</v>
      </c>
      <c r="H1025" s="31" t="s">
        <v>5621</v>
      </c>
      <c r="I1025" s="31" t="s">
        <v>5622</v>
      </c>
      <c r="J1025" s="31"/>
      <c r="N1025" s="23" t="s">
        <v>415</v>
      </c>
    </row>
    <row r="1026" spans="1:14" x14ac:dyDescent="0.35">
      <c r="A1026" s="24" t="s">
        <v>5623</v>
      </c>
      <c r="B1026" s="24" t="s">
        <v>5624</v>
      </c>
      <c r="C1026" s="24" t="s">
        <v>5625</v>
      </c>
      <c r="E1026" s="31" t="s">
        <v>5626</v>
      </c>
      <c r="F1026" s="31" t="s">
        <v>5627</v>
      </c>
      <c r="G1026" s="31" t="s">
        <v>5628</v>
      </c>
      <c r="H1026" s="31" t="s">
        <v>5629</v>
      </c>
      <c r="I1026" s="31" t="s">
        <v>5630</v>
      </c>
      <c r="J1026" s="31"/>
      <c r="N1026" s="23" t="s">
        <v>415</v>
      </c>
    </row>
    <row r="1027" spans="1:14" x14ac:dyDescent="0.35">
      <c r="A1027" s="24" t="s">
        <v>5631</v>
      </c>
      <c r="B1027" s="24" t="s">
        <v>5632</v>
      </c>
      <c r="C1027" s="24" t="s">
        <v>5633</v>
      </c>
      <c r="E1027" s="31" t="s">
        <v>5634</v>
      </c>
      <c r="F1027" s="31" t="s">
        <v>5635</v>
      </c>
      <c r="G1027" s="31" t="s">
        <v>5636</v>
      </c>
      <c r="H1027" s="31" t="s">
        <v>5637</v>
      </c>
      <c r="I1027" s="31" t="s">
        <v>5638</v>
      </c>
      <c r="J1027" s="31"/>
      <c r="N1027" s="23" t="s">
        <v>415</v>
      </c>
    </row>
    <row r="1028" spans="1:14" x14ac:dyDescent="0.35">
      <c r="A1028" s="24" t="s">
        <v>5639</v>
      </c>
      <c r="B1028" s="24" t="s">
        <v>5640</v>
      </c>
      <c r="C1028" s="24" t="s">
        <v>5641</v>
      </c>
      <c r="E1028" s="31" t="s">
        <v>5642</v>
      </c>
      <c r="F1028" s="31"/>
      <c r="G1028" s="31"/>
      <c r="H1028" s="31"/>
      <c r="I1028" s="31"/>
      <c r="J1028" s="31"/>
      <c r="N1028" s="23" t="s">
        <v>415</v>
      </c>
    </row>
    <row r="1029" spans="1:14" x14ac:dyDescent="0.35">
      <c r="A1029" s="24" t="s">
        <v>5643</v>
      </c>
      <c r="B1029" s="24" t="s">
        <v>5644</v>
      </c>
      <c r="C1029" s="24" t="s">
        <v>5645</v>
      </c>
      <c r="E1029" s="31" t="s">
        <v>4611</v>
      </c>
      <c r="F1029" s="31" t="s">
        <v>4612</v>
      </c>
      <c r="G1029" s="31" t="s">
        <v>4613</v>
      </c>
      <c r="H1029" s="31" t="s">
        <v>4614</v>
      </c>
      <c r="I1029" s="31" t="s">
        <v>4615</v>
      </c>
      <c r="J1029" s="31"/>
      <c r="N1029" s="23" t="s">
        <v>415</v>
      </c>
    </row>
    <row r="1030" spans="1:14" x14ac:dyDescent="0.35">
      <c r="A1030" s="24" t="s">
        <v>5646</v>
      </c>
      <c r="B1030" s="24" t="s">
        <v>5647</v>
      </c>
      <c r="C1030" s="24" t="s">
        <v>5648</v>
      </c>
      <c r="E1030" s="31" t="s">
        <v>5649</v>
      </c>
      <c r="F1030" s="31"/>
      <c r="G1030" s="31"/>
      <c r="H1030" s="31"/>
      <c r="I1030" s="31"/>
      <c r="J1030" s="31"/>
      <c r="N1030" s="23" t="s">
        <v>415</v>
      </c>
    </row>
    <row r="1031" spans="1:14" x14ac:dyDescent="0.35">
      <c r="A1031" s="24" t="s">
        <v>5650</v>
      </c>
      <c r="B1031" s="24" t="s">
        <v>5651</v>
      </c>
      <c r="C1031" s="24" t="s">
        <v>5652</v>
      </c>
      <c r="E1031" s="31" t="s">
        <v>5653</v>
      </c>
      <c r="F1031" s="31" t="s">
        <v>5654</v>
      </c>
      <c r="G1031" s="31" t="s">
        <v>5324</v>
      </c>
      <c r="H1031" s="31" t="s">
        <v>5325</v>
      </c>
      <c r="I1031" s="31"/>
      <c r="J1031" s="31"/>
      <c r="N1031" s="23" t="s">
        <v>415</v>
      </c>
    </row>
    <row r="1032" spans="1:14" x14ac:dyDescent="0.35">
      <c r="A1032" s="24" t="s">
        <v>5655</v>
      </c>
      <c r="B1032" s="24" t="s">
        <v>5656</v>
      </c>
      <c r="C1032" s="24" t="s">
        <v>5657</v>
      </c>
      <c r="E1032" s="31" t="s">
        <v>5658</v>
      </c>
      <c r="F1032" s="31" t="s">
        <v>5659</v>
      </c>
      <c r="G1032" s="31" t="s">
        <v>5660</v>
      </c>
      <c r="H1032" s="31" t="s">
        <v>5661</v>
      </c>
      <c r="I1032" s="31" t="s">
        <v>5662</v>
      </c>
      <c r="J1032" s="31"/>
      <c r="N1032" s="23" t="s">
        <v>415</v>
      </c>
    </row>
    <row r="1033" spans="1:14" x14ac:dyDescent="0.35">
      <c r="A1033" s="24" t="s">
        <v>5663</v>
      </c>
      <c r="B1033" s="24" t="s">
        <v>5664</v>
      </c>
      <c r="C1033" s="24" t="s">
        <v>5665</v>
      </c>
      <c r="E1033" s="31" t="s">
        <v>5666</v>
      </c>
      <c r="F1033" s="31"/>
      <c r="G1033" s="31"/>
      <c r="H1033" s="31"/>
      <c r="I1033" s="31"/>
      <c r="J1033" s="31"/>
      <c r="N1033" s="23" t="s">
        <v>415</v>
      </c>
    </row>
    <row r="1034" spans="1:14" x14ac:dyDescent="0.35">
      <c r="A1034" s="24" t="s">
        <v>5667</v>
      </c>
      <c r="B1034" s="24" t="s">
        <v>5668</v>
      </c>
      <c r="C1034" s="24" t="s">
        <v>5669</v>
      </c>
      <c r="E1034" s="31" t="s">
        <v>5670</v>
      </c>
      <c r="F1034" s="31" t="s">
        <v>5671</v>
      </c>
      <c r="G1034" s="31" t="s">
        <v>5672</v>
      </c>
      <c r="H1034" s="31" t="s">
        <v>5673</v>
      </c>
      <c r="I1034" s="31" t="s">
        <v>5674</v>
      </c>
      <c r="J1034" s="31"/>
      <c r="N1034" s="23" t="s">
        <v>415</v>
      </c>
    </row>
    <row r="1035" spans="1:14" x14ac:dyDescent="0.35">
      <c r="A1035" s="24" t="s">
        <v>5675</v>
      </c>
      <c r="B1035" s="24" t="s">
        <v>5676</v>
      </c>
      <c r="C1035" s="24" t="s">
        <v>5677</v>
      </c>
      <c r="E1035" s="31" t="s">
        <v>5678</v>
      </c>
      <c r="F1035" s="31"/>
      <c r="G1035" s="31"/>
      <c r="H1035" s="31"/>
      <c r="I1035" s="31"/>
      <c r="J1035" s="31"/>
      <c r="N1035" s="23" t="s">
        <v>415</v>
      </c>
    </row>
    <row r="1036" spans="1:14" x14ac:dyDescent="0.35">
      <c r="A1036" s="24" t="s">
        <v>5679</v>
      </c>
      <c r="B1036" s="24" t="s">
        <v>5680</v>
      </c>
      <c r="C1036" s="24" t="s">
        <v>5681</v>
      </c>
      <c r="E1036" s="31" t="s">
        <v>5682</v>
      </c>
      <c r="F1036" s="31" t="s">
        <v>5683</v>
      </c>
      <c r="G1036" s="31" t="s">
        <v>5684</v>
      </c>
      <c r="H1036" s="31"/>
      <c r="I1036" s="31"/>
      <c r="J1036" s="31"/>
      <c r="N1036" s="23" t="s">
        <v>415</v>
      </c>
    </row>
    <row r="1037" spans="1:14" x14ac:dyDescent="0.35">
      <c r="A1037" s="24" t="s">
        <v>5685</v>
      </c>
      <c r="B1037" s="24" t="s">
        <v>5686</v>
      </c>
      <c r="C1037" s="24" t="s">
        <v>5687</v>
      </c>
      <c r="E1037" s="31" t="s">
        <v>5688</v>
      </c>
      <c r="F1037" s="31" t="s">
        <v>5689</v>
      </c>
      <c r="G1037" s="31" t="s">
        <v>5690</v>
      </c>
      <c r="H1037" s="31" t="s">
        <v>5691</v>
      </c>
      <c r="I1037" s="31" t="s">
        <v>5692</v>
      </c>
      <c r="J1037" s="31"/>
      <c r="N1037" s="23" t="s">
        <v>415</v>
      </c>
    </row>
    <row r="1038" spans="1:14" x14ac:dyDescent="0.35">
      <c r="A1038" s="24" t="s">
        <v>5693</v>
      </c>
      <c r="B1038" s="24" t="s">
        <v>5694</v>
      </c>
      <c r="C1038" s="24" t="s">
        <v>5695</v>
      </c>
      <c r="E1038" s="31" t="s">
        <v>5696</v>
      </c>
      <c r="F1038" s="31" t="s">
        <v>5697</v>
      </c>
      <c r="G1038" s="31"/>
      <c r="H1038" s="31"/>
      <c r="I1038" s="31"/>
      <c r="J1038" s="31"/>
      <c r="N1038" s="23" t="s">
        <v>415</v>
      </c>
    </row>
    <row r="1039" spans="1:14" x14ac:dyDescent="0.35">
      <c r="A1039" s="24" t="s">
        <v>5698</v>
      </c>
      <c r="B1039" s="24" t="s">
        <v>5699</v>
      </c>
      <c r="C1039" s="24" t="s">
        <v>5700</v>
      </c>
      <c r="E1039" s="31"/>
      <c r="F1039" s="31"/>
      <c r="G1039" s="31"/>
      <c r="H1039" s="31"/>
      <c r="I1039" s="31"/>
      <c r="J1039" s="31"/>
      <c r="N1039" s="23" t="s">
        <v>415</v>
      </c>
    </row>
    <row r="1040" spans="1:14" x14ac:dyDescent="0.35">
      <c r="A1040" s="24" t="s">
        <v>5701</v>
      </c>
      <c r="B1040" s="24" t="s">
        <v>5702</v>
      </c>
      <c r="C1040" s="24" t="s">
        <v>5703</v>
      </c>
      <c r="E1040" s="31" t="s">
        <v>5704</v>
      </c>
      <c r="F1040" s="31"/>
      <c r="G1040" s="31"/>
      <c r="H1040" s="31"/>
      <c r="I1040" s="31"/>
      <c r="J1040" s="31"/>
      <c r="N1040" s="23" t="s">
        <v>415</v>
      </c>
    </row>
    <row r="1041" spans="1:14" x14ac:dyDescent="0.35">
      <c r="A1041" s="24" t="s">
        <v>5705</v>
      </c>
      <c r="B1041" s="24" t="s">
        <v>5706</v>
      </c>
      <c r="C1041" s="24" t="s">
        <v>5707</v>
      </c>
      <c r="E1041" s="31" t="s">
        <v>5708</v>
      </c>
      <c r="F1041" s="31" t="s">
        <v>5709</v>
      </c>
      <c r="G1041" s="31" t="s">
        <v>5710</v>
      </c>
      <c r="H1041" s="31" t="s">
        <v>5711</v>
      </c>
      <c r="I1041" s="31" t="s">
        <v>5712</v>
      </c>
      <c r="J1041" s="31"/>
      <c r="N1041" s="23" t="s">
        <v>415</v>
      </c>
    </row>
    <row r="1042" spans="1:14" x14ac:dyDescent="0.35">
      <c r="A1042" s="24" t="s">
        <v>5713</v>
      </c>
      <c r="B1042" s="24" t="s">
        <v>5714</v>
      </c>
      <c r="C1042" s="24" t="s">
        <v>5715</v>
      </c>
      <c r="E1042" s="31" t="s">
        <v>5716</v>
      </c>
      <c r="F1042" s="31" t="s">
        <v>5717</v>
      </c>
      <c r="G1042" s="31" t="s">
        <v>5718</v>
      </c>
      <c r="H1042" s="31"/>
      <c r="I1042" s="31"/>
      <c r="J1042" s="31"/>
      <c r="N1042" s="23" t="s">
        <v>415</v>
      </c>
    </row>
    <row r="1043" spans="1:14" x14ac:dyDescent="0.35">
      <c r="A1043" s="24" t="s">
        <v>5719</v>
      </c>
      <c r="B1043" s="24" t="s">
        <v>5720</v>
      </c>
      <c r="C1043" s="24" t="s">
        <v>5721</v>
      </c>
      <c r="E1043" s="31" t="s">
        <v>5722</v>
      </c>
      <c r="F1043" s="31" t="s">
        <v>5723</v>
      </c>
      <c r="G1043" s="31" t="s">
        <v>5724</v>
      </c>
      <c r="H1043" s="31" t="s">
        <v>5725</v>
      </c>
      <c r="I1043" s="31"/>
      <c r="J1043" s="31"/>
      <c r="N1043" s="23" t="s">
        <v>415</v>
      </c>
    </row>
    <row r="1044" spans="1:14" x14ac:dyDescent="0.35">
      <c r="A1044" s="24" t="s">
        <v>5726</v>
      </c>
      <c r="B1044" s="24" t="s">
        <v>5727</v>
      </c>
      <c r="C1044" s="24" t="s">
        <v>5728</v>
      </c>
      <c r="E1044" s="31" t="s">
        <v>3755</v>
      </c>
      <c r="F1044" s="31" t="s">
        <v>3756</v>
      </c>
      <c r="G1044" s="31" t="s">
        <v>3757</v>
      </c>
      <c r="H1044" s="31"/>
      <c r="I1044" s="31"/>
      <c r="J1044" s="31"/>
      <c r="N1044" s="23" t="s">
        <v>415</v>
      </c>
    </row>
    <row r="1045" spans="1:14" x14ac:dyDescent="0.35">
      <c r="A1045" s="24" t="s">
        <v>5729</v>
      </c>
      <c r="B1045" s="24" t="s">
        <v>5730</v>
      </c>
      <c r="C1045" s="24" t="s">
        <v>5731</v>
      </c>
      <c r="E1045" s="31" t="s">
        <v>5732</v>
      </c>
      <c r="F1045" s="31" t="s">
        <v>5733</v>
      </c>
      <c r="G1045" s="31" t="s">
        <v>5734</v>
      </c>
      <c r="H1045" s="31" t="s">
        <v>5735</v>
      </c>
      <c r="I1045" s="31" t="s">
        <v>5736</v>
      </c>
      <c r="J1045" s="31"/>
      <c r="N1045" s="23" t="s">
        <v>415</v>
      </c>
    </row>
    <row r="1046" spans="1:14" x14ac:dyDescent="0.35">
      <c r="A1046" s="24" t="s">
        <v>5737</v>
      </c>
      <c r="B1046" s="24" t="s">
        <v>5738</v>
      </c>
      <c r="C1046" s="24" t="s">
        <v>5739</v>
      </c>
      <c r="E1046" s="31" t="s">
        <v>5740</v>
      </c>
      <c r="F1046" s="31" t="s">
        <v>5741</v>
      </c>
      <c r="G1046" s="31" t="s">
        <v>5742</v>
      </c>
      <c r="H1046" s="31" t="s">
        <v>5743</v>
      </c>
      <c r="I1046" s="31" t="s">
        <v>5744</v>
      </c>
      <c r="J1046" s="31"/>
      <c r="N1046" s="23" t="s">
        <v>415</v>
      </c>
    </row>
    <row r="1047" spans="1:14" x14ac:dyDescent="0.35">
      <c r="A1047" s="24" t="s">
        <v>5745</v>
      </c>
      <c r="B1047" s="24" t="s">
        <v>5746</v>
      </c>
      <c r="C1047" s="24" t="s">
        <v>5747</v>
      </c>
      <c r="E1047" s="31" t="s">
        <v>5748</v>
      </c>
      <c r="F1047" s="31" t="s">
        <v>5749</v>
      </c>
      <c r="G1047" s="31" t="s">
        <v>5750</v>
      </c>
      <c r="H1047" s="31" t="s">
        <v>5751</v>
      </c>
      <c r="I1047" s="31" t="s">
        <v>5752</v>
      </c>
      <c r="J1047" s="31"/>
      <c r="N1047" s="23" t="s">
        <v>415</v>
      </c>
    </row>
    <row r="1048" spans="1:14" x14ac:dyDescent="0.35">
      <c r="A1048" s="24" t="s">
        <v>5753</v>
      </c>
      <c r="B1048" s="24" t="s">
        <v>5754</v>
      </c>
      <c r="C1048" s="24" t="s">
        <v>5755</v>
      </c>
      <c r="E1048" s="31" t="s">
        <v>5756</v>
      </c>
      <c r="F1048" s="31" t="s">
        <v>5757</v>
      </c>
      <c r="G1048" s="31" t="s">
        <v>5758</v>
      </c>
      <c r="H1048" s="31" t="s">
        <v>5759</v>
      </c>
      <c r="I1048" s="31" t="s">
        <v>5760</v>
      </c>
      <c r="J1048" s="31"/>
      <c r="N1048" s="23" t="s">
        <v>415</v>
      </c>
    </row>
    <row r="1049" spans="1:14" x14ac:dyDescent="0.35">
      <c r="A1049" s="24" t="s">
        <v>5761</v>
      </c>
      <c r="B1049" s="24" t="s">
        <v>5762</v>
      </c>
      <c r="C1049" s="24" t="s">
        <v>5763</v>
      </c>
      <c r="E1049" s="31" t="s">
        <v>5764</v>
      </c>
      <c r="F1049" s="31" t="s">
        <v>5765</v>
      </c>
      <c r="G1049" s="31" t="s">
        <v>5766</v>
      </c>
      <c r="H1049" s="31" t="s">
        <v>5767</v>
      </c>
      <c r="I1049" s="31"/>
      <c r="J1049" s="31"/>
      <c r="N1049" s="23" t="s">
        <v>415</v>
      </c>
    </row>
    <row r="1050" spans="1:14" x14ac:dyDescent="0.35">
      <c r="A1050" s="24" t="s">
        <v>5768</v>
      </c>
      <c r="B1050" s="24" t="s">
        <v>5769</v>
      </c>
      <c r="C1050" s="24" t="s">
        <v>5770</v>
      </c>
      <c r="E1050" s="31" t="s">
        <v>5771</v>
      </c>
      <c r="F1050" s="31"/>
      <c r="G1050" s="31"/>
      <c r="H1050" s="31"/>
      <c r="I1050" s="31"/>
      <c r="J1050" s="31"/>
      <c r="N1050" s="23" t="s">
        <v>415</v>
      </c>
    </row>
    <row r="1051" spans="1:14" x14ac:dyDescent="0.35">
      <c r="A1051" s="24" t="s">
        <v>5772</v>
      </c>
      <c r="B1051" s="24" t="s">
        <v>5773</v>
      </c>
      <c r="C1051" s="24" t="s">
        <v>5774</v>
      </c>
      <c r="E1051" s="31" t="s">
        <v>248</v>
      </c>
      <c r="F1051" s="31" t="s">
        <v>5775</v>
      </c>
      <c r="G1051" s="31" t="s">
        <v>5776</v>
      </c>
      <c r="H1051" s="31" t="s">
        <v>5777</v>
      </c>
      <c r="I1051" s="31" t="s">
        <v>5778</v>
      </c>
      <c r="J1051" s="31"/>
      <c r="N1051" s="23" t="s">
        <v>415</v>
      </c>
    </row>
    <row r="1052" spans="1:14" x14ac:dyDescent="0.35">
      <c r="A1052" s="24" t="s">
        <v>5779</v>
      </c>
      <c r="B1052" s="24" t="s">
        <v>5780</v>
      </c>
      <c r="C1052" s="24" t="s">
        <v>5781</v>
      </c>
      <c r="E1052" s="31" t="s">
        <v>5782</v>
      </c>
      <c r="F1052" s="31"/>
      <c r="G1052" s="31"/>
      <c r="H1052" s="31"/>
      <c r="I1052" s="31"/>
      <c r="J1052" s="31"/>
      <c r="N1052" s="23" t="s">
        <v>415</v>
      </c>
    </row>
    <row r="1053" spans="1:14" x14ac:dyDescent="0.35">
      <c r="A1053" s="24" t="s">
        <v>5783</v>
      </c>
      <c r="B1053" s="24" t="s">
        <v>5784</v>
      </c>
      <c r="C1053" s="24" t="s">
        <v>5785</v>
      </c>
      <c r="E1053" s="31" t="s">
        <v>5786</v>
      </c>
      <c r="F1053" s="31"/>
      <c r="G1053" s="31"/>
      <c r="H1053" s="31"/>
      <c r="I1053" s="31"/>
      <c r="J1053" s="31"/>
      <c r="N1053" s="23" t="s">
        <v>415</v>
      </c>
    </row>
    <row r="1054" spans="1:14" x14ac:dyDescent="0.35">
      <c r="A1054" s="24" t="s">
        <v>5787</v>
      </c>
      <c r="B1054" s="24" t="s">
        <v>5788</v>
      </c>
      <c r="C1054" s="24" t="s">
        <v>5789</v>
      </c>
      <c r="E1054" s="31" t="s">
        <v>5790</v>
      </c>
      <c r="F1054" s="31"/>
      <c r="G1054" s="31"/>
      <c r="H1054" s="31"/>
      <c r="I1054" s="31"/>
      <c r="J1054" s="31"/>
      <c r="N1054" s="23" t="s">
        <v>415</v>
      </c>
    </row>
    <row r="1055" spans="1:14" x14ac:dyDescent="0.35">
      <c r="A1055" s="24" t="s">
        <v>5791</v>
      </c>
      <c r="B1055" s="24" t="s">
        <v>5792</v>
      </c>
      <c r="C1055" s="24" t="s">
        <v>5793</v>
      </c>
      <c r="E1055" s="31" t="s">
        <v>5794</v>
      </c>
      <c r="F1055" s="31"/>
      <c r="G1055" s="31"/>
      <c r="H1055" s="31"/>
      <c r="I1055" s="31"/>
      <c r="J1055" s="31"/>
      <c r="N1055" s="23" t="s">
        <v>415</v>
      </c>
    </row>
    <row r="1056" spans="1:14" x14ac:dyDescent="0.35">
      <c r="A1056" s="24" t="s">
        <v>5795</v>
      </c>
      <c r="B1056" s="24" t="s">
        <v>5796</v>
      </c>
      <c r="C1056" s="24" t="s">
        <v>5797</v>
      </c>
      <c r="E1056" s="31" t="s">
        <v>5798</v>
      </c>
      <c r="F1056" s="31"/>
      <c r="G1056" s="31"/>
      <c r="H1056" s="31"/>
      <c r="I1056" s="31"/>
      <c r="J1056" s="31"/>
      <c r="N1056" s="23" t="s">
        <v>415</v>
      </c>
    </row>
    <row r="1057" spans="1:14" x14ac:dyDescent="0.35">
      <c r="A1057" s="24" t="s">
        <v>5799</v>
      </c>
      <c r="B1057" s="24" t="s">
        <v>5800</v>
      </c>
      <c r="C1057" s="24" t="s">
        <v>5801</v>
      </c>
      <c r="E1057" s="31" t="s">
        <v>5802</v>
      </c>
      <c r="F1057" s="31" t="s">
        <v>5803</v>
      </c>
      <c r="G1057" s="31" t="s">
        <v>5804</v>
      </c>
      <c r="H1057" s="31" t="s">
        <v>5805</v>
      </c>
      <c r="I1057" s="31" t="s">
        <v>5806</v>
      </c>
      <c r="J1057" s="31"/>
      <c r="N1057" s="23" t="s">
        <v>415</v>
      </c>
    </row>
    <row r="1058" spans="1:14" x14ac:dyDescent="0.35">
      <c r="A1058" s="24" t="s">
        <v>5807</v>
      </c>
      <c r="B1058" s="24" t="s">
        <v>5808</v>
      </c>
      <c r="C1058" s="24" t="s">
        <v>5809</v>
      </c>
      <c r="E1058" s="31" t="s">
        <v>5810</v>
      </c>
      <c r="F1058" s="31"/>
      <c r="G1058" s="31"/>
      <c r="H1058" s="31"/>
      <c r="I1058" s="31"/>
      <c r="J1058" s="31"/>
      <c r="N1058" s="23" t="s">
        <v>415</v>
      </c>
    </row>
    <row r="1059" spans="1:14" x14ac:dyDescent="0.35">
      <c r="A1059" s="24" t="s">
        <v>5811</v>
      </c>
      <c r="B1059" s="24" t="s">
        <v>5812</v>
      </c>
      <c r="C1059" s="24" t="s">
        <v>5813</v>
      </c>
      <c r="E1059" s="31" t="s">
        <v>5814</v>
      </c>
      <c r="F1059" s="31"/>
      <c r="G1059" s="31"/>
      <c r="H1059" s="31"/>
      <c r="I1059" s="31"/>
      <c r="J1059" s="31"/>
      <c r="N1059" s="23" t="s">
        <v>415</v>
      </c>
    </row>
    <row r="1060" spans="1:14" x14ac:dyDescent="0.35">
      <c r="A1060" s="24" t="s">
        <v>5815</v>
      </c>
      <c r="B1060" s="24" t="s">
        <v>5816</v>
      </c>
      <c r="C1060" s="24" t="s">
        <v>5817</v>
      </c>
      <c r="E1060" s="31" t="s">
        <v>5818</v>
      </c>
      <c r="F1060" s="31"/>
      <c r="G1060" s="31"/>
      <c r="H1060" s="31"/>
      <c r="I1060" s="31"/>
      <c r="J1060" s="31"/>
      <c r="N1060" s="23" t="s">
        <v>415</v>
      </c>
    </row>
    <row r="1061" spans="1:14" x14ac:dyDescent="0.35">
      <c r="A1061" s="24" t="s">
        <v>5819</v>
      </c>
      <c r="B1061" s="24" t="s">
        <v>5820</v>
      </c>
      <c r="C1061" s="24" t="s">
        <v>5821</v>
      </c>
      <c r="E1061" s="31" t="s">
        <v>5822</v>
      </c>
      <c r="F1061" s="31" t="s">
        <v>5823</v>
      </c>
      <c r="G1061" s="31" t="s">
        <v>5824</v>
      </c>
      <c r="H1061" s="31" t="s">
        <v>5825</v>
      </c>
      <c r="I1061" s="31" t="s">
        <v>5826</v>
      </c>
      <c r="J1061" s="31"/>
      <c r="N1061" s="23" t="s">
        <v>415</v>
      </c>
    </row>
    <row r="1062" spans="1:14" x14ac:dyDescent="0.35">
      <c r="A1062" s="24" t="s">
        <v>5829</v>
      </c>
      <c r="B1062" s="24" t="s">
        <v>5830</v>
      </c>
      <c r="C1062" s="24" t="s">
        <v>5831</v>
      </c>
      <c r="E1062" s="31" t="s">
        <v>5832</v>
      </c>
      <c r="F1062" s="31"/>
      <c r="G1062" s="31"/>
      <c r="H1062" s="31"/>
      <c r="I1062" s="31"/>
      <c r="J1062" s="31"/>
      <c r="N1062" s="23" t="s">
        <v>415</v>
      </c>
    </row>
    <row r="1063" spans="1:14" x14ac:dyDescent="0.35">
      <c r="A1063" s="24" t="s">
        <v>5833</v>
      </c>
      <c r="B1063" s="24" t="s">
        <v>5834</v>
      </c>
      <c r="C1063" s="24" t="s">
        <v>5835</v>
      </c>
      <c r="E1063" s="31" t="s">
        <v>5836</v>
      </c>
      <c r="F1063" s="31"/>
      <c r="G1063" s="31"/>
      <c r="H1063" s="31"/>
      <c r="I1063" s="31"/>
      <c r="J1063" s="31"/>
      <c r="N1063" s="23" t="s">
        <v>415</v>
      </c>
    </row>
    <row r="1064" spans="1:14" x14ac:dyDescent="0.35">
      <c r="A1064" s="24" t="s">
        <v>5837</v>
      </c>
      <c r="B1064" s="24" t="s">
        <v>5838</v>
      </c>
      <c r="C1064" s="24" t="s">
        <v>5839</v>
      </c>
      <c r="E1064" s="31" t="s">
        <v>5840</v>
      </c>
      <c r="F1064" s="31" t="s">
        <v>5841</v>
      </c>
      <c r="G1064" s="31" t="s">
        <v>5842</v>
      </c>
      <c r="H1064" s="31"/>
      <c r="I1064" s="31"/>
      <c r="J1064" s="31"/>
      <c r="N1064" s="23" t="s">
        <v>415</v>
      </c>
    </row>
    <row r="1065" spans="1:14" x14ac:dyDescent="0.35">
      <c r="A1065" s="24" t="s">
        <v>5843</v>
      </c>
      <c r="B1065" s="24" t="s">
        <v>5844</v>
      </c>
      <c r="C1065" s="24" t="s">
        <v>5845</v>
      </c>
      <c r="E1065" s="31" t="s">
        <v>5846</v>
      </c>
      <c r="F1065" s="31"/>
      <c r="G1065" s="31"/>
      <c r="H1065" s="31"/>
      <c r="I1065" s="31"/>
      <c r="J1065" s="31"/>
      <c r="N1065" s="23" t="s">
        <v>415</v>
      </c>
    </row>
    <row r="1066" spans="1:14" x14ac:dyDescent="0.35">
      <c r="A1066" s="24" t="s">
        <v>5847</v>
      </c>
      <c r="B1066" s="24" t="s">
        <v>5848</v>
      </c>
      <c r="C1066" s="24" t="s">
        <v>5849</v>
      </c>
      <c r="E1066" s="31" t="s">
        <v>5850</v>
      </c>
      <c r="F1066" s="31" t="s">
        <v>5851</v>
      </c>
      <c r="G1066" s="31" t="s">
        <v>5852</v>
      </c>
      <c r="H1066" s="31" t="s">
        <v>5853</v>
      </c>
      <c r="I1066" s="31" t="s">
        <v>5854</v>
      </c>
      <c r="J1066" s="31"/>
      <c r="N1066" s="23" t="s">
        <v>415</v>
      </c>
    </row>
    <row r="1067" spans="1:14" x14ac:dyDescent="0.35">
      <c r="A1067" s="24" t="s">
        <v>5855</v>
      </c>
      <c r="B1067" s="24" t="s">
        <v>5856</v>
      </c>
      <c r="C1067" s="24" t="s">
        <v>5857</v>
      </c>
      <c r="E1067" s="31" t="s">
        <v>5858</v>
      </c>
      <c r="F1067" s="31"/>
      <c r="G1067" s="31"/>
      <c r="H1067" s="31"/>
      <c r="I1067" s="31"/>
      <c r="J1067" s="31"/>
      <c r="N1067" s="23" t="s">
        <v>415</v>
      </c>
    </row>
    <row r="1068" spans="1:14" x14ac:dyDescent="0.35">
      <c r="A1068" s="24" t="s">
        <v>5859</v>
      </c>
      <c r="B1068" s="24" t="s">
        <v>5860</v>
      </c>
      <c r="C1068" s="24" t="s">
        <v>5861</v>
      </c>
      <c r="E1068" s="31" t="s">
        <v>5862</v>
      </c>
      <c r="F1068" s="31"/>
      <c r="G1068" s="31"/>
      <c r="H1068" s="31"/>
      <c r="I1068" s="31"/>
      <c r="J1068" s="31"/>
      <c r="N1068" s="23" t="s">
        <v>415</v>
      </c>
    </row>
    <row r="1069" spans="1:14" x14ac:dyDescent="0.35">
      <c r="A1069" s="24" t="s">
        <v>5863</v>
      </c>
      <c r="B1069" s="24" t="s">
        <v>5864</v>
      </c>
      <c r="C1069" s="24" t="s">
        <v>5865</v>
      </c>
      <c r="E1069" s="31" t="s">
        <v>649</v>
      </c>
      <c r="F1069" s="31" t="s">
        <v>650</v>
      </c>
      <c r="G1069" s="31" t="s">
        <v>651</v>
      </c>
      <c r="H1069" s="31" t="s">
        <v>652</v>
      </c>
      <c r="I1069" s="31"/>
      <c r="J1069" s="31"/>
      <c r="N1069" s="23" t="s">
        <v>415</v>
      </c>
    </row>
    <row r="1070" spans="1:14" x14ac:dyDescent="0.35">
      <c r="A1070" s="24" t="s">
        <v>5866</v>
      </c>
      <c r="B1070" s="24" t="s">
        <v>5867</v>
      </c>
      <c r="C1070" s="24" t="s">
        <v>5868</v>
      </c>
      <c r="E1070" s="31" t="s">
        <v>5869</v>
      </c>
      <c r="F1070" s="31"/>
      <c r="G1070" s="31"/>
      <c r="H1070" s="31"/>
      <c r="I1070" s="31"/>
      <c r="J1070" s="31"/>
      <c r="N1070" s="23" t="s">
        <v>415</v>
      </c>
    </row>
    <row r="1071" spans="1:14" x14ac:dyDescent="0.35">
      <c r="A1071" s="24" t="s">
        <v>5870</v>
      </c>
      <c r="B1071" s="24" t="s">
        <v>5871</v>
      </c>
      <c r="C1071" s="24" t="s">
        <v>5872</v>
      </c>
      <c r="E1071" s="31" t="s">
        <v>5873</v>
      </c>
      <c r="F1071" s="31" t="s">
        <v>5874</v>
      </c>
      <c r="G1071" s="31" t="s">
        <v>5827</v>
      </c>
      <c r="H1071" s="31" t="s">
        <v>5828</v>
      </c>
      <c r="I1071" s="31" t="s">
        <v>5875</v>
      </c>
      <c r="J1071" s="31"/>
      <c r="N1071" s="23" t="s">
        <v>415</v>
      </c>
    </row>
    <row r="1072" spans="1:14" ht="16.2" x14ac:dyDescent="0.35">
      <c r="A1072" s="24" t="s">
        <v>5876</v>
      </c>
      <c r="B1072" s="24" t="s">
        <v>5877</v>
      </c>
      <c r="C1072" s="24" t="s">
        <v>5878</v>
      </c>
      <c r="E1072" s="31" t="s">
        <v>5879</v>
      </c>
      <c r="F1072" s="31" t="s">
        <v>5880</v>
      </c>
      <c r="G1072" s="7" t="s">
        <v>9615</v>
      </c>
      <c r="H1072" s="7" t="s">
        <v>9616</v>
      </c>
      <c r="I1072" s="31"/>
      <c r="J1072" s="31"/>
      <c r="N1072" s="23" t="s">
        <v>415</v>
      </c>
    </row>
    <row r="1073" spans="1:14" x14ac:dyDescent="0.35">
      <c r="A1073" s="24" t="s">
        <v>5881</v>
      </c>
      <c r="B1073" s="24" t="s">
        <v>5882</v>
      </c>
      <c r="C1073" s="24" t="s">
        <v>5883</v>
      </c>
      <c r="E1073" s="31" t="s">
        <v>5884</v>
      </c>
      <c r="F1073" s="31"/>
      <c r="G1073" s="31"/>
      <c r="H1073" s="31"/>
      <c r="I1073" s="31"/>
      <c r="J1073" s="31"/>
      <c r="N1073" s="23" t="s">
        <v>415</v>
      </c>
    </row>
    <row r="1074" spans="1:14" x14ac:dyDescent="0.35">
      <c r="A1074" s="24" t="s">
        <v>5885</v>
      </c>
      <c r="B1074" s="24" t="s">
        <v>5886</v>
      </c>
      <c r="C1074" s="24" t="s">
        <v>5887</v>
      </c>
      <c r="E1074" s="31" t="s">
        <v>5888</v>
      </c>
      <c r="F1074" s="31" t="s">
        <v>5889</v>
      </c>
      <c r="G1074" s="31" t="s">
        <v>5890</v>
      </c>
      <c r="H1074" s="31" t="s">
        <v>5891</v>
      </c>
      <c r="I1074" s="31" t="s">
        <v>5892</v>
      </c>
      <c r="J1074" s="31"/>
      <c r="N1074" s="23" t="s">
        <v>415</v>
      </c>
    </row>
    <row r="1075" spans="1:14" x14ac:dyDescent="0.35">
      <c r="A1075" s="24" t="s">
        <v>5893</v>
      </c>
      <c r="B1075" s="24" t="s">
        <v>5894</v>
      </c>
      <c r="C1075" s="24" t="s">
        <v>5895</v>
      </c>
      <c r="E1075" s="31" t="s">
        <v>5896</v>
      </c>
      <c r="F1075" s="31"/>
      <c r="G1075" s="31"/>
      <c r="H1075" s="31"/>
      <c r="I1075" s="31"/>
      <c r="J1075" s="31"/>
      <c r="N1075" s="23" t="s">
        <v>415</v>
      </c>
    </row>
    <row r="1076" spans="1:14" x14ac:dyDescent="0.35">
      <c r="A1076" s="24" t="s">
        <v>5897</v>
      </c>
      <c r="B1076" s="24" t="s">
        <v>5898</v>
      </c>
      <c r="C1076" s="24" t="s">
        <v>5899</v>
      </c>
      <c r="E1076" s="31" t="s">
        <v>5900</v>
      </c>
      <c r="F1076" s="31" t="s">
        <v>5901</v>
      </c>
      <c r="G1076" s="31"/>
      <c r="H1076" s="31"/>
      <c r="I1076" s="31"/>
      <c r="J1076" s="31"/>
      <c r="N1076" s="23" t="s">
        <v>415</v>
      </c>
    </row>
    <row r="1077" spans="1:14" x14ac:dyDescent="0.35">
      <c r="A1077" s="24" t="s">
        <v>5902</v>
      </c>
      <c r="B1077" s="24" t="s">
        <v>5903</v>
      </c>
      <c r="C1077" s="24" t="s">
        <v>9470</v>
      </c>
      <c r="E1077" s="33" t="s">
        <v>5904</v>
      </c>
      <c r="F1077" s="31"/>
      <c r="G1077" s="31"/>
      <c r="H1077" s="31"/>
      <c r="I1077" s="31"/>
      <c r="J1077" s="31"/>
      <c r="N1077" s="23" t="s">
        <v>415</v>
      </c>
    </row>
    <row r="1078" spans="1:14" x14ac:dyDescent="0.35">
      <c r="A1078" s="24" t="s">
        <v>5905</v>
      </c>
      <c r="B1078" s="24" t="s">
        <v>5906</v>
      </c>
      <c r="C1078" s="24" t="s">
        <v>5907</v>
      </c>
      <c r="E1078" s="31" t="s">
        <v>5908</v>
      </c>
      <c r="F1078" s="31" t="s">
        <v>5909</v>
      </c>
      <c r="G1078" s="31" t="s">
        <v>5910</v>
      </c>
      <c r="H1078" s="31" t="s">
        <v>5911</v>
      </c>
      <c r="I1078" s="31"/>
      <c r="J1078" s="31"/>
      <c r="N1078" s="23" t="s">
        <v>415</v>
      </c>
    </row>
    <row r="1079" spans="1:14" x14ac:dyDescent="0.35">
      <c r="A1079" s="24" t="s">
        <v>5912</v>
      </c>
      <c r="B1079" s="24" t="s">
        <v>5913</v>
      </c>
      <c r="C1079" s="24" t="s">
        <v>5914</v>
      </c>
      <c r="E1079" s="31" t="s">
        <v>5915</v>
      </c>
      <c r="F1079" s="31" t="s">
        <v>5916</v>
      </c>
      <c r="G1079" s="31" t="s">
        <v>5917</v>
      </c>
      <c r="H1079" s="31" t="s">
        <v>5918</v>
      </c>
      <c r="I1079" s="31" t="s">
        <v>5919</v>
      </c>
      <c r="J1079" s="31"/>
      <c r="N1079" s="23" t="s">
        <v>415</v>
      </c>
    </row>
    <row r="1080" spans="1:14" x14ac:dyDescent="0.35">
      <c r="A1080" s="24" t="s">
        <v>5920</v>
      </c>
      <c r="B1080" s="24" t="s">
        <v>5921</v>
      </c>
      <c r="C1080" s="24" t="s">
        <v>5922</v>
      </c>
      <c r="E1080" s="31" t="s">
        <v>5296</v>
      </c>
      <c r="F1080" s="31" t="s">
        <v>5297</v>
      </c>
      <c r="G1080" s="31" t="s">
        <v>5298</v>
      </c>
      <c r="H1080" s="31" t="s">
        <v>5299</v>
      </c>
      <c r="I1080" s="31"/>
      <c r="J1080" s="31"/>
      <c r="N1080" s="23" t="s">
        <v>1434</v>
      </c>
    </row>
    <row r="1081" spans="1:14" x14ac:dyDescent="0.35">
      <c r="A1081" s="24" t="s">
        <v>5923</v>
      </c>
      <c r="B1081" s="24" t="s">
        <v>5924</v>
      </c>
      <c r="C1081" s="24" t="s">
        <v>5925</v>
      </c>
      <c r="E1081" s="31" t="s">
        <v>5926</v>
      </c>
      <c r="F1081" s="31" t="s">
        <v>5927</v>
      </c>
      <c r="G1081" s="31" t="s">
        <v>5928</v>
      </c>
      <c r="H1081" s="31" t="s">
        <v>5929</v>
      </c>
      <c r="I1081" s="31" t="s">
        <v>5930</v>
      </c>
      <c r="J1081" s="31"/>
      <c r="N1081" s="23" t="s">
        <v>415</v>
      </c>
    </row>
    <row r="1082" spans="1:14" x14ac:dyDescent="0.35">
      <c r="A1082" s="24" t="s">
        <v>5931</v>
      </c>
      <c r="B1082" s="24" t="s">
        <v>5932</v>
      </c>
      <c r="C1082" s="24" t="s">
        <v>5933</v>
      </c>
      <c r="E1082" s="31" t="s">
        <v>5934</v>
      </c>
      <c r="F1082" s="31"/>
      <c r="G1082" s="31"/>
      <c r="H1082" s="31"/>
      <c r="I1082" s="31"/>
      <c r="J1082" s="31"/>
      <c r="N1082" s="23" t="s">
        <v>415</v>
      </c>
    </row>
    <row r="1083" spans="1:14" x14ac:dyDescent="0.35">
      <c r="A1083" s="24" t="s">
        <v>5935</v>
      </c>
      <c r="B1083" s="24" t="s">
        <v>5936</v>
      </c>
      <c r="C1083" s="24" t="s">
        <v>5937</v>
      </c>
      <c r="E1083" s="31" t="s">
        <v>5938</v>
      </c>
      <c r="F1083" s="31" t="s">
        <v>5939</v>
      </c>
      <c r="G1083" s="31" t="s">
        <v>5940</v>
      </c>
      <c r="H1083" s="31" t="s">
        <v>5941</v>
      </c>
      <c r="I1083" s="31" t="s">
        <v>5942</v>
      </c>
      <c r="J1083" s="31"/>
      <c r="N1083" s="23" t="s">
        <v>415</v>
      </c>
    </row>
    <row r="1084" spans="1:14" x14ac:dyDescent="0.35">
      <c r="A1084" s="24" t="s">
        <v>5943</v>
      </c>
      <c r="B1084" s="24" t="s">
        <v>5944</v>
      </c>
      <c r="C1084" s="24" t="s">
        <v>5945</v>
      </c>
      <c r="E1084" s="31" t="s">
        <v>5946</v>
      </c>
      <c r="F1084" s="31" t="s">
        <v>5947</v>
      </c>
      <c r="G1084" s="31" t="s">
        <v>5948</v>
      </c>
      <c r="H1084" s="31" t="s">
        <v>5949</v>
      </c>
      <c r="I1084" s="31" t="s">
        <v>5950</v>
      </c>
      <c r="J1084" s="31"/>
      <c r="N1084" s="23" t="s">
        <v>415</v>
      </c>
    </row>
    <row r="1085" spans="1:14" x14ac:dyDescent="0.35">
      <c r="A1085" s="24" t="s">
        <v>5951</v>
      </c>
      <c r="B1085" s="24" t="s">
        <v>5952</v>
      </c>
      <c r="C1085" s="24" t="s">
        <v>5953</v>
      </c>
      <c r="E1085" s="31" t="s">
        <v>5954</v>
      </c>
      <c r="F1085" s="31" t="s">
        <v>5955</v>
      </c>
      <c r="G1085" s="31" t="s">
        <v>5956</v>
      </c>
      <c r="H1085" s="31" t="s">
        <v>5957</v>
      </c>
      <c r="I1085" s="31" t="s">
        <v>5958</v>
      </c>
      <c r="J1085" s="31"/>
      <c r="N1085" s="23" t="s">
        <v>415</v>
      </c>
    </row>
    <row r="1086" spans="1:14" x14ac:dyDescent="0.35">
      <c r="A1086" s="24" t="s">
        <v>5959</v>
      </c>
      <c r="B1086" s="24" t="s">
        <v>5960</v>
      </c>
      <c r="C1086" s="24" t="s">
        <v>5961</v>
      </c>
      <c r="E1086" s="31" t="s">
        <v>5962</v>
      </c>
      <c r="F1086" s="31"/>
      <c r="G1086" s="31"/>
      <c r="H1086" s="31"/>
      <c r="I1086" s="31"/>
      <c r="J1086" s="31"/>
      <c r="N1086" s="23" t="s">
        <v>415</v>
      </c>
    </row>
    <row r="1087" spans="1:14" x14ac:dyDescent="0.35">
      <c r="A1087" s="24" t="s">
        <v>5963</v>
      </c>
      <c r="B1087" s="24" t="s">
        <v>5964</v>
      </c>
      <c r="C1087" s="24" t="s">
        <v>5965</v>
      </c>
      <c r="E1087" s="31" t="s">
        <v>5966</v>
      </c>
      <c r="F1087" s="31" t="s">
        <v>5967</v>
      </c>
      <c r="G1087" s="31"/>
      <c r="H1087" s="31"/>
      <c r="I1087" s="31"/>
      <c r="J1087" s="31"/>
      <c r="N1087" s="23" t="s">
        <v>415</v>
      </c>
    </row>
    <row r="1088" spans="1:14" x14ac:dyDescent="0.35">
      <c r="A1088" s="24" t="s">
        <v>5970</v>
      </c>
      <c r="B1088" s="24" t="s">
        <v>5971</v>
      </c>
      <c r="C1088" s="24" t="s">
        <v>5972</v>
      </c>
      <c r="E1088" s="31" t="s">
        <v>5973</v>
      </c>
      <c r="F1088" s="31"/>
      <c r="G1088" s="31"/>
      <c r="H1088" s="31"/>
      <c r="I1088" s="31"/>
      <c r="J1088" s="31"/>
      <c r="N1088" s="23" t="s">
        <v>415</v>
      </c>
    </row>
    <row r="1089" spans="1:14" x14ac:dyDescent="0.35">
      <c r="A1089" s="24" t="s">
        <v>5974</v>
      </c>
      <c r="B1089" s="24" t="s">
        <v>5975</v>
      </c>
      <c r="C1089" s="24" t="s">
        <v>5976</v>
      </c>
      <c r="E1089" s="31" t="s">
        <v>5977</v>
      </c>
      <c r="F1089" s="31"/>
      <c r="G1089" s="31"/>
      <c r="H1089" s="31"/>
      <c r="I1089" s="31"/>
      <c r="J1089" s="31"/>
      <c r="N1089" s="23" t="s">
        <v>415</v>
      </c>
    </row>
    <row r="1090" spans="1:14" x14ac:dyDescent="0.35">
      <c r="A1090" s="24" t="s">
        <v>5978</v>
      </c>
      <c r="B1090" s="24" t="s">
        <v>5979</v>
      </c>
      <c r="C1090" s="24" t="s">
        <v>5980</v>
      </c>
      <c r="E1090" s="31" t="s">
        <v>5981</v>
      </c>
      <c r="F1090" s="31" t="s">
        <v>5982</v>
      </c>
      <c r="G1090" s="31"/>
      <c r="H1090" s="31"/>
      <c r="I1090" s="31"/>
      <c r="J1090" s="31"/>
      <c r="N1090" s="23" t="s">
        <v>415</v>
      </c>
    </row>
    <row r="1091" spans="1:14" x14ac:dyDescent="0.35">
      <c r="A1091" s="24" t="s">
        <v>5983</v>
      </c>
      <c r="B1091" s="24" t="s">
        <v>5984</v>
      </c>
      <c r="C1091" s="24" t="s">
        <v>5985</v>
      </c>
      <c r="E1091" s="31" t="s">
        <v>5986</v>
      </c>
      <c r="F1091" s="31"/>
      <c r="G1091" s="31"/>
      <c r="H1091" s="31"/>
      <c r="I1091" s="31"/>
      <c r="J1091" s="31"/>
      <c r="N1091" s="23" t="s">
        <v>871</v>
      </c>
    </row>
    <row r="1092" spans="1:14" x14ac:dyDescent="0.35">
      <c r="A1092" s="24" t="s">
        <v>5987</v>
      </c>
      <c r="B1092" s="24" t="s">
        <v>5988</v>
      </c>
      <c r="C1092" s="24" t="s">
        <v>9584</v>
      </c>
      <c r="E1092" s="31" t="s">
        <v>5989</v>
      </c>
      <c r="F1092" s="31"/>
      <c r="G1092" s="31"/>
      <c r="H1092" s="31"/>
      <c r="I1092" s="31"/>
      <c r="J1092" s="31"/>
      <c r="N1092" s="23" t="s">
        <v>415</v>
      </c>
    </row>
    <row r="1093" spans="1:14" x14ac:dyDescent="0.35">
      <c r="A1093" s="24" t="s">
        <v>5990</v>
      </c>
      <c r="B1093" s="24" t="s">
        <v>5991</v>
      </c>
      <c r="C1093" s="24" t="s">
        <v>5992</v>
      </c>
      <c r="E1093" s="31" t="s">
        <v>5993</v>
      </c>
      <c r="F1093" s="31" t="s">
        <v>5994</v>
      </c>
      <c r="G1093" s="31" t="s">
        <v>5995</v>
      </c>
      <c r="H1093" s="31"/>
      <c r="I1093" s="31"/>
      <c r="J1093" s="31"/>
      <c r="N1093" s="23" t="s">
        <v>415</v>
      </c>
    </row>
    <row r="1094" spans="1:14" x14ac:dyDescent="0.35">
      <c r="A1094" s="24" t="s">
        <v>5996</v>
      </c>
      <c r="B1094" s="24" t="s">
        <v>5997</v>
      </c>
      <c r="C1094" s="24" t="s">
        <v>5998</v>
      </c>
      <c r="E1094" s="31" t="s">
        <v>5999</v>
      </c>
      <c r="F1094" s="31" t="s">
        <v>6000</v>
      </c>
      <c r="G1094" s="31" t="s">
        <v>6001</v>
      </c>
      <c r="H1094" s="31" t="s">
        <v>6002</v>
      </c>
      <c r="I1094" s="31" t="s">
        <v>6003</v>
      </c>
      <c r="J1094" s="31"/>
      <c r="N1094" s="23" t="s">
        <v>415</v>
      </c>
    </row>
    <row r="1095" spans="1:14" x14ac:dyDescent="0.35">
      <c r="A1095" s="24" t="s">
        <v>6004</v>
      </c>
      <c r="B1095" s="24" t="s">
        <v>6005</v>
      </c>
      <c r="C1095" s="24" t="s">
        <v>6006</v>
      </c>
      <c r="E1095" s="31" t="s">
        <v>6007</v>
      </c>
      <c r="F1095" s="31"/>
      <c r="G1095" s="31"/>
      <c r="H1095" s="31"/>
      <c r="I1095" s="31"/>
      <c r="J1095" s="31"/>
      <c r="N1095" s="23" t="s">
        <v>415</v>
      </c>
    </row>
    <row r="1096" spans="1:14" x14ac:dyDescent="0.35">
      <c r="A1096" s="24" t="s">
        <v>6008</v>
      </c>
      <c r="B1096" s="24" t="s">
        <v>6009</v>
      </c>
      <c r="C1096" s="24" t="s">
        <v>6010</v>
      </c>
      <c r="E1096" s="31" t="s">
        <v>6011</v>
      </c>
      <c r="F1096" s="31" t="s">
        <v>6012</v>
      </c>
      <c r="G1096" s="31" t="s">
        <v>6013</v>
      </c>
      <c r="H1096" s="31" t="s">
        <v>6014</v>
      </c>
      <c r="I1096" s="31" t="s">
        <v>6015</v>
      </c>
      <c r="J1096" s="31"/>
      <c r="N1096" s="23" t="s">
        <v>458</v>
      </c>
    </row>
    <row r="1097" spans="1:14" x14ac:dyDescent="0.35">
      <c r="A1097" s="24" t="s">
        <v>6016</v>
      </c>
      <c r="B1097" s="24" t="s">
        <v>6017</v>
      </c>
      <c r="C1097" s="24" t="s">
        <v>6018</v>
      </c>
      <c r="E1097" s="31" t="s">
        <v>6019</v>
      </c>
      <c r="F1097" s="31" t="s">
        <v>6020</v>
      </c>
      <c r="G1097" s="31" t="s">
        <v>6021</v>
      </c>
      <c r="H1097" s="31" t="s">
        <v>6022</v>
      </c>
      <c r="I1097" s="31"/>
      <c r="J1097" s="31"/>
      <c r="N1097" s="23" t="s">
        <v>415</v>
      </c>
    </row>
    <row r="1098" spans="1:14" x14ac:dyDescent="0.35">
      <c r="A1098" s="24" t="s">
        <v>6023</v>
      </c>
      <c r="B1098" s="24" t="s">
        <v>6024</v>
      </c>
      <c r="C1098" s="24" t="s">
        <v>6025</v>
      </c>
      <c r="E1098" s="31" t="s">
        <v>6026</v>
      </c>
      <c r="F1098" s="31"/>
      <c r="G1098" s="31"/>
      <c r="H1098" s="31"/>
      <c r="I1098" s="31"/>
      <c r="J1098" s="31"/>
      <c r="N1098" s="23" t="s">
        <v>415</v>
      </c>
    </row>
    <row r="1099" spans="1:14" x14ac:dyDescent="0.35">
      <c r="A1099" s="24" t="s">
        <v>6027</v>
      </c>
      <c r="B1099" s="24" t="s">
        <v>6028</v>
      </c>
      <c r="C1099" s="24" t="s">
        <v>6029</v>
      </c>
      <c r="E1099" s="31" t="s">
        <v>6030</v>
      </c>
      <c r="F1099" s="31" t="s">
        <v>6031</v>
      </c>
      <c r="G1099" s="31" t="s">
        <v>6032</v>
      </c>
      <c r="H1099" s="31" t="s">
        <v>6033</v>
      </c>
      <c r="I1099" s="31" t="s">
        <v>6034</v>
      </c>
      <c r="J1099" s="31"/>
      <c r="N1099" s="23" t="s">
        <v>415</v>
      </c>
    </row>
    <row r="1100" spans="1:14" x14ac:dyDescent="0.35">
      <c r="A1100" s="24" t="s">
        <v>6035</v>
      </c>
      <c r="B1100" s="24" t="s">
        <v>6036</v>
      </c>
      <c r="C1100" s="24" t="s">
        <v>6037</v>
      </c>
      <c r="E1100" s="31" t="s">
        <v>6038</v>
      </c>
      <c r="F1100" s="31" t="s">
        <v>6039</v>
      </c>
      <c r="G1100" s="31" t="s">
        <v>6040</v>
      </c>
      <c r="H1100" s="31" t="s">
        <v>6041</v>
      </c>
      <c r="I1100" s="31" t="s">
        <v>6042</v>
      </c>
      <c r="J1100" s="31"/>
      <c r="N1100" s="23" t="s">
        <v>415</v>
      </c>
    </row>
    <row r="1101" spans="1:14" x14ac:dyDescent="0.35">
      <c r="A1101" s="24" t="s">
        <v>6043</v>
      </c>
      <c r="B1101" s="24" t="s">
        <v>6044</v>
      </c>
      <c r="C1101" s="24" t="s">
        <v>6045</v>
      </c>
      <c r="E1101" s="31" t="s">
        <v>6046</v>
      </c>
      <c r="F1101" s="31"/>
      <c r="G1101" s="31"/>
      <c r="H1101" s="31"/>
      <c r="I1101" s="31"/>
      <c r="J1101" s="31"/>
      <c r="N1101" s="23" t="s">
        <v>415</v>
      </c>
    </row>
    <row r="1102" spans="1:14" x14ac:dyDescent="0.35">
      <c r="A1102" s="24" t="s">
        <v>6047</v>
      </c>
      <c r="B1102" s="24" t="s">
        <v>6048</v>
      </c>
      <c r="C1102" s="24" t="s">
        <v>6049</v>
      </c>
      <c r="E1102" s="31" t="s">
        <v>6050</v>
      </c>
      <c r="F1102" s="31" t="s">
        <v>6051</v>
      </c>
      <c r="G1102" s="31" t="s">
        <v>6052</v>
      </c>
      <c r="H1102" s="31" t="s">
        <v>6053</v>
      </c>
      <c r="I1102" s="31" t="s">
        <v>6054</v>
      </c>
      <c r="J1102" s="31"/>
      <c r="N1102" s="23" t="s">
        <v>415</v>
      </c>
    </row>
    <row r="1103" spans="1:14" x14ac:dyDescent="0.35">
      <c r="A1103" s="24" t="s">
        <v>6055</v>
      </c>
      <c r="B1103" s="24" t="s">
        <v>6056</v>
      </c>
      <c r="C1103" s="24" t="s">
        <v>6057</v>
      </c>
      <c r="E1103" s="31" t="s">
        <v>6058</v>
      </c>
      <c r="F1103" s="31"/>
      <c r="G1103" s="31"/>
      <c r="H1103" s="31"/>
      <c r="I1103" s="31"/>
      <c r="J1103" s="31"/>
      <c r="N1103" s="23" t="s">
        <v>415</v>
      </c>
    </row>
    <row r="1104" spans="1:14" x14ac:dyDescent="0.35">
      <c r="A1104" s="24" t="s">
        <v>6059</v>
      </c>
      <c r="B1104" s="24" t="s">
        <v>6060</v>
      </c>
      <c r="C1104" s="24" t="s">
        <v>6061</v>
      </c>
      <c r="E1104" s="31" t="s">
        <v>6062</v>
      </c>
      <c r="F1104" s="31" t="s">
        <v>6063</v>
      </c>
      <c r="G1104" s="31" t="s">
        <v>6064</v>
      </c>
      <c r="H1104" s="31" t="s">
        <v>6065</v>
      </c>
      <c r="I1104" s="31" t="s">
        <v>6066</v>
      </c>
      <c r="J1104" s="31"/>
      <c r="N1104" s="23" t="s">
        <v>415</v>
      </c>
    </row>
    <row r="1105" spans="1:14" x14ac:dyDescent="0.35">
      <c r="A1105" s="24" t="s">
        <v>6067</v>
      </c>
      <c r="B1105" s="24" t="s">
        <v>6068</v>
      </c>
      <c r="C1105" s="24" t="s">
        <v>6069</v>
      </c>
      <c r="E1105" s="31" t="s">
        <v>6070</v>
      </c>
      <c r="F1105" s="31" t="s">
        <v>6071</v>
      </c>
      <c r="G1105" s="31" t="s">
        <v>6072</v>
      </c>
      <c r="H1105" s="31" t="s">
        <v>6073</v>
      </c>
      <c r="I1105" s="31" t="s">
        <v>6074</v>
      </c>
      <c r="J1105" s="31"/>
      <c r="N1105" s="23" t="s">
        <v>415</v>
      </c>
    </row>
    <row r="1106" spans="1:14" x14ac:dyDescent="0.35">
      <c r="A1106" s="24" t="s">
        <v>6075</v>
      </c>
      <c r="B1106" s="24" t="s">
        <v>6076</v>
      </c>
      <c r="C1106" s="24" t="s">
        <v>6077</v>
      </c>
      <c r="E1106" s="31" t="s">
        <v>6078</v>
      </c>
      <c r="F1106" s="31" t="s">
        <v>6079</v>
      </c>
      <c r="G1106" s="31" t="s">
        <v>6080</v>
      </c>
      <c r="H1106" s="31" t="s">
        <v>6081</v>
      </c>
      <c r="I1106" s="31" t="s">
        <v>6082</v>
      </c>
      <c r="J1106" s="31"/>
      <c r="N1106" s="23" t="s">
        <v>415</v>
      </c>
    </row>
    <row r="1107" spans="1:14" x14ac:dyDescent="0.35">
      <c r="A1107" s="24" t="s">
        <v>6083</v>
      </c>
      <c r="B1107" s="24" t="s">
        <v>6084</v>
      </c>
      <c r="C1107" s="24" t="s">
        <v>6085</v>
      </c>
      <c r="E1107" s="31" t="s">
        <v>6086</v>
      </c>
      <c r="F1107" s="31" t="s">
        <v>6087</v>
      </c>
      <c r="G1107" s="31" t="s">
        <v>6088</v>
      </c>
      <c r="H1107" s="31" t="s">
        <v>6089</v>
      </c>
      <c r="I1107" s="31" t="s">
        <v>6090</v>
      </c>
      <c r="J1107" s="31"/>
      <c r="N1107" s="23" t="s">
        <v>1434</v>
      </c>
    </row>
    <row r="1108" spans="1:14" x14ac:dyDescent="0.35">
      <c r="A1108" s="24" t="s">
        <v>6091</v>
      </c>
      <c r="B1108" s="24" t="s">
        <v>6092</v>
      </c>
      <c r="C1108" s="24" t="s">
        <v>9471</v>
      </c>
      <c r="E1108" s="31" t="s">
        <v>6093</v>
      </c>
      <c r="F1108" s="31" t="s">
        <v>6094</v>
      </c>
      <c r="G1108" s="31" t="s">
        <v>6095</v>
      </c>
      <c r="H1108" s="31"/>
      <c r="I1108" s="31"/>
      <c r="J1108" s="31"/>
      <c r="N1108" s="23" t="s">
        <v>3413</v>
      </c>
    </row>
    <row r="1109" spans="1:14" x14ac:dyDescent="0.35">
      <c r="A1109" s="24" t="s">
        <v>6096</v>
      </c>
      <c r="B1109" s="24" t="s">
        <v>6097</v>
      </c>
      <c r="C1109" s="24" t="s">
        <v>6098</v>
      </c>
      <c r="E1109" s="31" t="s">
        <v>6099</v>
      </c>
      <c r="F1109" s="31" t="s">
        <v>6100</v>
      </c>
      <c r="G1109" s="31" t="s">
        <v>6101</v>
      </c>
      <c r="H1109" s="31" t="s">
        <v>6102</v>
      </c>
      <c r="I1109" s="31" t="s">
        <v>6103</v>
      </c>
      <c r="J1109" s="31"/>
      <c r="N1109" s="23" t="s">
        <v>1434</v>
      </c>
    </row>
    <row r="1110" spans="1:14" x14ac:dyDescent="0.35">
      <c r="A1110" s="24" t="s">
        <v>6104</v>
      </c>
      <c r="B1110" s="24" t="s">
        <v>6105</v>
      </c>
      <c r="C1110" s="24" t="s">
        <v>6106</v>
      </c>
      <c r="E1110" s="31" t="s">
        <v>6107</v>
      </c>
      <c r="F1110" s="31" t="s">
        <v>6108</v>
      </c>
      <c r="G1110" s="31" t="s">
        <v>6109</v>
      </c>
      <c r="H1110" s="31" t="s">
        <v>6110</v>
      </c>
      <c r="I1110" s="31" t="s">
        <v>6111</v>
      </c>
      <c r="J1110" s="31"/>
      <c r="N1110" s="23" t="s">
        <v>415</v>
      </c>
    </row>
    <row r="1111" spans="1:14" x14ac:dyDescent="0.35">
      <c r="A1111" s="24" t="s">
        <v>6112</v>
      </c>
      <c r="B1111" s="24" t="s">
        <v>6113</v>
      </c>
      <c r="C1111" s="24" t="s">
        <v>6114</v>
      </c>
      <c r="E1111" s="31" t="s">
        <v>6115</v>
      </c>
      <c r="F1111" s="31"/>
      <c r="G1111" s="31"/>
      <c r="H1111" s="31"/>
      <c r="I1111" s="31"/>
      <c r="J1111" s="31"/>
      <c r="N1111" s="23" t="s">
        <v>415</v>
      </c>
    </row>
    <row r="1112" spans="1:14" x14ac:dyDescent="0.35">
      <c r="A1112" s="24" t="s">
        <v>6116</v>
      </c>
      <c r="B1112" s="24" t="s">
        <v>6117</v>
      </c>
      <c r="C1112" s="24" t="s">
        <v>6118</v>
      </c>
      <c r="E1112" s="31" t="s">
        <v>6119</v>
      </c>
      <c r="F1112" s="31" t="s">
        <v>6120</v>
      </c>
      <c r="G1112" s="31" t="s">
        <v>6121</v>
      </c>
      <c r="H1112" s="31" t="s">
        <v>6122</v>
      </c>
      <c r="I1112" s="31"/>
      <c r="J1112" s="31"/>
      <c r="N1112" s="23" t="s">
        <v>415</v>
      </c>
    </row>
    <row r="1113" spans="1:14" x14ac:dyDescent="0.35">
      <c r="A1113" s="24" t="s">
        <v>6123</v>
      </c>
      <c r="B1113" s="24" t="s">
        <v>6124</v>
      </c>
      <c r="C1113" s="24" t="s">
        <v>6125</v>
      </c>
      <c r="E1113" s="31" t="s">
        <v>6126</v>
      </c>
      <c r="F1113" s="31"/>
      <c r="G1113" s="31"/>
      <c r="H1113" s="31"/>
      <c r="I1113" s="31"/>
      <c r="J1113" s="31"/>
      <c r="N1113" s="23" t="s">
        <v>458</v>
      </c>
    </row>
    <row r="1114" spans="1:14" x14ac:dyDescent="0.35">
      <c r="A1114" s="24" t="s">
        <v>6127</v>
      </c>
      <c r="B1114" s="24" t="s">
        <v>6128</v>
      </c>
      <c r="C1114" s="24" t="s">
        <v>6129</v>
      </c>
      <c r="E1114" s="31" t="s">
        <v>6130</v>
      </c>
      <c r="F1114" s="31" t="s">
        <v>6131</v>
      </c>
      <c r="G1114" s="31" t="s">
        <v>6132</v>
      </c>
      <c r="H1114" s="31" t="s">
        <v>6133</v>
      </c>
      <c r="I1114" s="31"/>
      <c r="J1114" s="31"/>
      <c r="N1114" s="23" t="s">
        <v>415</v>
      </c>
    </row>
    <row r="1115" spans="1:14" x14ac:dyDescent="0.35">
      <c r="A1115" s="24" t="s">
        <v>6134</v>
      </c>
      <c r="B1115" s="24" t="s">
        <v>6135</v>
      </c>
      <c r="C1115" s="24" t="s">
        <v>6136</v>
      </c>
      <c r="E1115" s="31" t="s">
        <v>6137</v>
      </c>
      <c r="F1115" s="31" t="s">
        <v>6138</v>
      </c>
      <c r="G1115" s="31" t="s">
        <v>6139</v>
      </c>
      <c r="H1115" s="31" t="s">
        <v>6140</v>
      </c>
      <c r="I1115" s="31" t="s">
        <v>6141</v>
      </c>
      <c r="J1115" s="31"/>
      <c r="N1115" s="23" t="s">
        <v>415</v>
      </c>
    </row>
    <row r="1116" spans="1:14" x14ac:dyDescent="0.35">
      <c r="A1116" s="24" t="s">
        <v>6142</v>
      </c>
      <c r="B1116" s="24" t="s">
        <v>6143</v>
      </c>
      <c r="C1116" s="24" t="s">
        <v>6144</v>
      </c>
      <c r="E1116" s="31" t="s">
        <v>6145</v>
      </c>
      <c r="F1116" s="31" t="s">
        <v>6146</v>
      </c>
      <c r="G1116" s="31" t="s">
        <v>6147</v>
      </c>
      <c r="H1116" s="31" t="s">
        <v>6148</v>
      </c>
      <c r="I1116" s="31" t="s">
        <v>6149</v>
      </c>
      <c r="J1116" s="31"/>
      <c r="N1116" s="23" t="s">
        <v>415</v>
      </c>
    </row>
    <row r="1117" spans="1:14" x14ac:dyDescent="0.35">
      <c r="A1117" s="24" t="s">
        <v>6150</v>
      </c>
      <c r="B1117" s="24" t="s">
        <v>6151</v>
      </c>
      <c r="C1117" s="24" t="s">
        <v>6152</v>
      </c>
      <c r="E1117" s="31" t="s">
        <v>6153</v>
      </c>
      <c r="F1117" s="31" t="s">
        <v>6154</v>
      </c>
      <c r="G1117" s="31" t="s">
        <v>6155</v>
      </c>
      <c r="H1117" s="31"/>
      <c r="I1117" s="31"/>
      <c r="J1117" s="31"/>
      <c r="N1117" s="23" t="s">
        <v>415</v>
      </c>
    </row>
    <row r="1118" spans="1:14" x14ac:dyDescent="0.35">
      <c r="A1118" s="24" t="s">
        <v>6156</v>
      </c>
      <c r="B1118" s="24" t="s">
        <v>6157</v>
      </c>
      <c r="C1118" s="24" t="s">
        <v>6158</v>
      </c>
      <c r="E1118" s="31" t="s">
        <v>6159</v>
      </c>
      <c r="F1118" s="31"/>
      <c r="G1118" s="31"/>
      <c r="H1118" s="31"/>
      <c r="I1118" s="31"/>
      <c r="J1118" s="31"/>
      <c r="N1118" s="23" t="s">
        <v>1696</v>
      </c>
    </row>
    <row r="1119" spans="1:14" x14ac:dyDescent="0.35">
      <c r="A1119" s="24" t="s">
        <v>6160</v>
      </c>
      <c r="B1119" s="24" t="s">
        <v>6161</v>
      </c>
      <c r="C1119" s="24" t="s">
        <v>6162</v>
      </c>
      <c r="E1119" s="31" t="s">
        <v>6163</v>
      </c>
      <c r="F1119" s="31" t="s">
        <v>6164</v>
      </c>
      <c r="G1119" s="31" t="s">
        <v>6165</v>
      </c>
      <c r="H1119" s="31" t="s">
        <v>6166</v>
      </c>
      <c r="I1119" s="31" t="s">
        <v>6167</v>
      </c>
      <c r="J1119" s="31"/>
      <c r="N1119" s="23" t="s">
        <v>415</v>
      </c>
    </row>
    <row r="1120" spans="1:14" x14ac:dyDescent="0.35">
      <c r="A1120" s="24" t="s">
        <v>6168</v>
      </c>
      <c r="B1120" s="24" t="s">
        <v>6169</v>
      </c>
      <c r="C1120" s="24" t="s">
        <v>6170</v>
      </c>
      <c r="E1120" s="31" t="s">
        <v>6171</v>
      </c>
      <c r="F1120" s="31"/>
      <c r="G1120" s="31"/>
      <c r="H1120" s="31"/>
      <c r="I1120" s="31"/>
      <c r="J1120" s="31"/>
      <c r="N1120" s="23" t="s">
        <v>415</v>
      </c>
    </row>
    <row r="1121" spans="1:14" x14ac:dyDescent="0.35">
      <c r="A1121" s="24" t="s">
        <v>6172</v>
      </c>
      <c r="B1121" s="24" t="s">
        <v>6173</v>
      </c>
      <c r="C1121" s="24" t="s">
        <v>9592</v>
      </c>
      <c r="E1121" s="31" t="s">
        <v>6174</v>
      </c>
      <c r="F1121" s="31"/>
      <c r="G1121" s="31"/>
      <c r="H1121" s="31"/>
      <c r="I1121" s="31"/>
      <c r="J1121" s="31"/>
      <c r="N1121" s="23" t="s">
        <v>415</v>
      </c>
    </row>
    <row r="1122" spans="1:14" x14ac:dyDescent="0.35">
      <c r="A1122" s="24" t="s">
        <v>6175</v>
      </c>
      <c r="B1122" s="24" t="s">
        <v>6176</v>
      </c>
      <c r="C1122" s="24" t="s">
        <v>6177</v>
      </c>
      <c r="E1122" s="31" t="s">
        <v>6178</v>
      </c>
      <c r="F1122" s="31" t="s">
        <v>6179</v>
      </c>
      <c r="G1122" s="31" t="s">
        <v>6180</v>
      </c>
      <c r="H1122" s="31" t="s">
        <v>6181</v>
      </c>
      <c r="I1122" s="31"/>
      <c r="J1122" s="31"/>
      <c r="N1122" s="23" t="s">
        <v>415</v>
      </c>
    </row>
    <row r="1123" spans="1:14" x14ac:dyDescent="0.35">
      <c r="A1123" s="24" t="s">
        <v>6182</v>
      </c>
      <c r="B1123" s="24" t="s">
        <v>6183</v>
      </c>
      <c r="C1123" s="24" t="s">
        <v>6184</v>
      </c>
      <c r="E1123" s="31" t="s">
        <v>6185</v>
      </c>
      <c r="F1123" s="31"/>
      <c r="G1123" s="31"/>
      <c r="H1123" s="31"/>
      <c r="I1123" s="31"/>
      <c r="J1123" s="31"/>
      <c r="N1123" s="23" t="s">
        <v>415</v>
      </c>
    </row>
    <row r="1124" spans="1:14" x14ac:dyDescent="0.35">
      <c r="A1124" s="24" t="s">
        <v>6186</v>
      </c>
      <c r="B1124" s="24" t="s">
        <v>6187</v>
      </c>
      <c r="C1124" s="24" t="s">
        <v>6188</v>
      </c>
      <c r="E1124" s="31" t="s">
        <v>6189</v>
      </c>
      <c r="F1124" s="31"/>
      <c r="G1124" s="31"/>
      <c r="H1124" s="31"/>
      <c r="I1124" s="31"/>
      <c r="J1124" s="31"/>
      <c r="N1124" s="23" t="s">
        <v>415</v>
      </c>
    </row>
    <row r="1125" spans="1:14" x14ac:dyDescent="0.35">
      <c r="A1125" s="24" t="s">
        <v>6190</v>
      </c>
      <c r="B1125" s="24" t="s">
        <v>6191</v>
      </c>
      <c r="C1125" s="24" t="s">
        <v>6192</v>
      </c>
      <c r="E1125" s="31" t="s">
        <v>6193</v>
      </c>
      <c r="F1125" s="31" t="s">
        <v>6194</v>
      </c>
      <c r="G1125" s="31" t="s">
        <v>6195</v>
      </c>
      <c r="H1125" s="31" t="s">
        <v>6196</v>
      </c>
      <c r="I1125" s="31" t="s">
        <v>6197</v>
      </c>
      <c r="J1125" s="31"/>
      <c r="N1125" s="23" t="s">
        <v>415</v>
      </c>
    </row>
    <row r="1126" spans="1:14" x14ac:dyDescent="0.35">
      <c r="A1126" s="24" t="s">
        <v>6198</v>
      </c>
      <c r="B1126" s="24" t="s">
        <v>6199</v>
      </c>
      <c r="C1126" s="24" t="s">
        <v>6200</v>
      </c>
      <c r="E1126" s="31" t="s">
        <v>6201</v>
      </c>
      <c r="F1126" s="31"/>
      <c r="G1126" s="31"/>
      <c r="H1126" s="31"/>
      <c r="I1126" s="31"/>
      <c r="J1126" s="31"/>
      <c r="N1126" s="23" t="s">
        <v>415</v>
      </c>
    </row>
    <row r="1127" spans="1:14" x14ac:dyDescent="0.35">
      <c r="A1127" s="24" t="s">
        <v>6202</v>
      </c>
      <c r="B1127" s="24" t="s">
        <v>6203</v>
      </c>
      <c r="C1127" s="24" t="s">
        <v>6204</v>
      </c>
      <c r="E1127" s="31" t="s">
        <v>6205</v>
      </c>
      <c r="F1127" s="31"/>
      <c r="G1127" s="31"/>
      <c r="H1127" s="31"/>
      <c r="I1127" s="31"/>
      <c r="J1127" s="31"/>
      <c r="N1127" s="23" t="s">
        <v>415</v>
      </c>
    </row>
    <row r="1128" spans="1:14" x14ac:dyDescent="0.35">
      <c r="A1128" s="24" t="s">
        <v>6206</v>
      </c>
      <c r="B1128" s="24" t="s">
        <v>6207</v>
      </c>
      <c r="C1128" s="24" t="s">
        <v>6208</v>
      </c>
      <c r="E1128" s="31" t="s">
        <v>6209</v>
      </c>
      <c r="F1128" s="31"/>
      <c r="G1128" s="31"/>
      <c r="H1128" s="31"/>
      <c r="I1128" s="31"/>
      <c r="J1128" s="31"/>
      <c r="N1128" s="23" t="s">
        <v>415</v>
      </c>
    </row>
    <row r="1129" spans="1:14" x14ac:dyDescent="0.35">
      <c r="A1129" s="24" t="s">
        <v>6210</v>
      </c>
      <c r="B1129" s="24" t="s">
        <v>6211</v>
      </c>
      <c r="C1129" s="24" t="s">
        <v>6212</v>
      </c>
      <c r="E1129" s="31" t="s">
        <v>6213</v>
      </c>
      <c r="F1129" s="31" t="s">
        <v>6214</v>
      </c>
      <c r="G1129" s="31" t="s">
        <v>6215</v>
      </c>
      <c r="H1129" s="31"/>
      <c r="I1129" s="31"/>
      <c r="J1129" s="31"/>
      <c r="N1129" s="23" t="s">
        <v>415</v>
      </c>
    </row>
    <row r="1130" spans="1:14" x14ac:dyDescent="0.35">
      <c r="A1130" s="24" t="s">
        <v>6216</v>
      </c>
      <c r="B1130" s="24" t="s">
        <v>6217</v>
      </c>
      <c r="C1130" s="24" t="s">
        <v>6218</v>
      </c>
      <c r="E1130" s="31" t="s">
        <v>6219</v>
      </c>
      <c r="F1130" s="31" t="s">
        <v>6220</v>
      </c>
      <c r="G1130" s="31" t="s">
        <v>6221</v>
      </c>
      <c r="H1130" s="31"/>
      <c r="I1130" s="31"/>
      <c r="J1130" s="31"/>
      <c r="N1130" s="23" t="s">
        <v>415</v>
      </c>
    </row>
    <row r="1131" spans="1:14" x14ac:dyDescent="0.35">
      <c r="A1131" s="24" t="s">
        <v>6222</v>
      </c>
      <c r="B1131" s="24" t="s">
        <v>6223</v>
      </c>
      <c r="C1131" s="24" t="s">
        <v>6224</v>
      </c>
      <c r="E1131" s="31" t="s">
        <v>6225</v>
      </c>
      <c r="F1131" s="31" t="s">
        <v>6226</v>
      </c>
      <c r="G1131" s="31" t="s">
        <v>6227</v>
      </c>
      <c r="H1131" s="31" t="s">
        <v>6228</v>
      </c>
      <c r="I1131" s="31"/>
      <c r="J1131" s="31"/>
      <c r="N1131" s="23" t="s">
        <v>415</v>
      </c>
    </row>
    <row r="1132" spans="1:14" x14ac:dyDescent="0.35">
      <c r="A1132" s="24" t="s">
        <v>6229</v>
      </c>
      <c r="B1132" s="24" t="s">
        <v>6230</v>
      </c>
      <c r="C1132" s="24" t="s">
        <v>6231</v>
      </c>
      <c r="E1132" s="31" t="s">
        <v>6232</v>
      </c>
      <c r="F1132" s="31"/>
      <c r="G1132" s="31"/>
      <c r="H1132" s="31"/>
      <c r="I1132" s="31"/>
      <c r="J1132" s="31"/>
      <c r="N1132" s="23" t="s">
        <v>415</v>
      </c>
    </row>
    <row r="1133" spans="1:14" x14ac:dyDescent="0.35">
      <c r="A1133" s="24" t="s">
        <v>6233</v>
      </c>
      <c r="B1133" s="24" t="s">
        <v>6234</v>
      </c>
      <c r="C1133" s="24" t="s">
        <v>6235</v>
      </c>
      <c r="E1133" s="31" t="s">
        <v>6236</v>
      </c>
      <c r="F1133" s="31" t="s">
        <v>6237</v>
      </c>
      <c r="G1133" s="31" t="s">
        <v>6238</v>
      </c>
      <c r="H1133" s="31" t="s">
        <v>6239</v>
      </c>
      <c r="I1133" s="31" t="s">
        <v>6240</v>
      </c>
      <c r="J1133" s="31"/>
      <c r="N1133" s="23" t="s">
        <v>415</v>
      </c>
    </row>
    <row r="1134" spans="1:14" x14ac:dyDescent="0.35">
      <c r="A1134" s="24" t="s">
        <v>6241</v>
      </c>
      <c r="B1134" s="24" t="s">
        <v>6242</v>
      </c>
      <c r="C1134" s="24" t="s">
        <v>6243</v>
      </c>
      <c r="E1134" s="31" t="s">
        <v>6244</v>
      </c>
      <c r="F1134" s="31"/>
      <c r="G1134" s="31"/>
      <c r="H1134" s="31"/>
      <c r="I1134" s="31"/>
      <c r="J1134" s="31"/>
      <c r="N1134" s="23" t="s">
        <v>415</v>
      </c>
    </row>
    <row r="1135" spans="1:14" x14ac:dyDescent="0.35">
      <c r="A1135" s="24" t="s">
        <v>6245</v>
      </c>
      <c r="B1135" s="24" t="s">
        <v>6246</v>
      </c>
      <c r="C1135" s="24" t="s">
        <v>6247</v>
      </c>
      <c r="E1135" s="31" t="s">
        <v>6248</v>
      </c>
      <c r="F1135" s="31"/>
      <c r="G1135" s="31"/>
      <c r="H1135" s="31"/>
      <c r="I1135" s="31"/>
      <c r="J1135" s="31"/>
      <c r="N1135" s="23" t="s">
        <v>415</v>
      </c>
    </row>
    <row r="1136" spans="1:14" x14ac:dyDescent="0.35">
      <c r="A1136" s="24" t="s">
        <v>6249</v>
      </c>
      <c r="B1136" s="24" t="s">
        <v>6250</v>
      </c>
      <c r="C1136" s="24" t="s">
        <v>6251</v>
      </c>
      <c r="E1136" s="31" t="s">
        <v>5954</v>
      </c>
      <c r="F1136" s="31" t="s">
        <v>5955</v>
      </c>
      <c r="G1136" s="31" t="s">
        <v>5956</v>
      </c>
      <c r="H1136" s="31" t="s">
        <v>5957</v>
      </c>
      <c r="I1136" s="31" t="s">
        <v>5958</v>
      </c>
      <c r="J1136" s="31"/>
      <c r="N1136" s="23" t="s">
        <v>415</v>
      </c>
    </row>
    <row r="1137" spans="1:14" x14ac:dyDescent="0.35">
      <c r="A1137" s="24" t="s">
        <v>6252</v>
      </c>
      <c r="B1137" s="24" t="s">
        <v>6253</v>
      </c>
      <c r="C1137" s="24" t="s">
        <v>6254</v>
      </c>
      <c r="E1137" s="31" t="s">
        <v>6255</v>
      </c>
      <c r="F1137" s="31"/>
      <c r="G1137" s="31"/>
      <c r="H1137" s="31"/>
      <c r="I1137" s="31"/>
      <c r="J1137" s="31"/>
      <c r="N1137" s="23" t="s">
        <v>415</v>
      </c>
    </row>
    <row r="1138" spans="1:14" x14ac:dyDescent="0.35">
      <c r="A1138" s="24" t="s">
        <v>6256</v>
      </c>
      <c r="B1138" s="24" t="s">
        <v>6257</v>
      </c>
      <c r="C1138" s="24" t="s">
        <v>6258</v>
      </c>
      <c r="E1138" s="31" t="s">
        <v>6259</v>
      </c>
      <c r="F1138" s="31"/>
      <c r="G1138" s="31"/>
      <c r="H1138" s="31"/>
      <c r="I1138" s="31"/>
      <c r="J1138" s="31"/>
      <c r="N1138" s="23" t="s">
        <v>871</v>
      </c>
    </row>
    <row r="1139" spans="1:14" x14ac:dyDescent="0.35">
      <c r="A1139" s="24" t="s">
        <v>6260</v>
      </c>
      <c r="B1139" s="24" t="s">
        <v>6261</v>
      </c>
      <c r="C1139" s="24" t="s">
        <v>6262</v>
      </c>
      <c r="E1139" s="31" t="s">
        <v>6263</v>
      </c>
      <c r="F1139" s="31" t="s">
        <v>6264</v>
      </c>
      <c r="G1139" s="31"/>
      <c r="H1139" s="31"/>
      <c r="I1139" s="31"/>
      <c r="J1139" s="31"/>
      <c r="N1139" s="23" t="s">
        <v>415</v>
      </c>
    </row>
    <row r="1140" spans="1:14" x14ac:dyDescent="0.35">
      <c r="A1140" s="24" t="s">
        <v>6265</v>
      </c>
      <c r="B1140" s="24" t="s">
        <v>6266</v>
      </c>
      <c r="C1140" s="24" t="s">
        <v>6267</v>
      </c>
      <c r="E1140" s="31" t="s">
        <v>6268</v>
      </c>
      <c r="F1140" s="31"/>
      <c r="G1140" s="31"/>
      <c r="H1140" s="31"/>
      <c r="I1140" s="31"/>
      <c r="J1140" s="31"/>
      <c r="N1140" s="23" t="s">
        <v>415</v>
      </c>
    </row>
    <row r="1141" spans="1:14" x14ac:dyDescent="0.35">
      <c r="A1141" s="24" t="s">
        <v>6269</v>
      </c>
      <c r="B1141" s="24" t="s">
        <v>6270</v>
      </c>
      <c r="C1141" s="24" t="s">
        <v>6271</v>
      </c>
      <c r="E1141" s="31" t="s">
        <v>6272</v>
      </c>
      <c r="F1141" s="31"/>
      <c r="G1141" s="31"/>
      <c r="H1141" s="31"/>
      <c r="I1141" s="31"/>
      <c r="J1141" s="31"/>
      <c r="N1141" s="23" t="s">
        <v>1434</v>
      </c>
    </row>
    <row r="1142" spans="1:14" x14ac:dyDescent="0.35">
      <c r="A1142" s="24" t="s">
        <v>6273</v>
      </c>
      <c r="B1142" s="24" t="s">
        <v>6274</v>
      </c>
      <c r="C1142" s="24" t="s">
        <v>6275</v>
      </c>
      <c r="E1142" s="31" t="s">
        <v>6276</v>
      </c>
      <c r="F1142" s="31"/>
      <c r="G1142" s="31"/>
      <c r="H1142" s="31"/>
      <c r="I1142" s="31"/>
      <c r="J1142" s="31"/>
      <c r="N1142" s="23" t="s">
        <v>415</v>
      </c>
    </row>
    <row r="1143" spans="1:14" ht="16.2" x14ac:dyDescent="0.35">
      <c r="A1143" s="24" t="s">
        <v>6277</v>
      </c>
      <c r="B1143" s="24" t="s">
        <v>6278</v>
      </c>
      <c r="C1143" s="24" t="s">
        <v>6279</v>
      </c>
      <c r="E1143" s="31" t="s">
        <v>6280</v>
      </c>
      <c r="F1143" s="31" t="s">
        <v>10071</v>
      </c>
      <c r="G1143" s="31" t="s">
        <v>10072</v>
      </c>
      <c r="H1143" s="31" t="s">
        <v>10073</v>
      </c>
      <c r="I1143" s="31" t="s">
        <v>10074</v>
      </c>
      <c r="J1143" s="7" t="s">
        <v>10075</v>
      </c>
      <c r="N1143" s="23" t="s">
        <v>415</v>
      </c>
    </row>
    <row r="1144" spans="1:14" x14ac:dyDescent="0.35">
      <c r="A1144" s="24" t="s">
        <v>6281</v>
      </c>
      <c r="B1144" s="24" t="s">
        <v>6282</v>
      </c>
      <c r="C1144" s="24" t="s">
        <v>6283</v>
      </c>
      <c r="E1144" s="31" t="s">
        <v>6284</v>
      </c>
      <c r="F1144" s="31"/>
      <c r="G1144" s="31"/>
      <c r="H1144" s="31"/>
      <c r="I1144" s="31"/>
      <c r="J1144" s="31"/>
      <c r="N1144" s="23" t="s">
        <v>415</v>
      </c>
    </row>
    <row r="1145" spans="1:14" ht="16.2" x14ac:dyDescent="0.35">
      <c r="A1145" s="24" t="s">
        <v>6285</v>
      </c>
      <c r="B1145" s="24" t="s">
        <v>6286</v>
      </c>
      <c r="C1145" s="24" t="s">
        <v>6287</v>
      </c>
      <c r="E1145" s="31" t="s">
        <v>6288</v>
      </c>
      <c r="F1145" s="7" t="s">
        <v>9645</v>
      </c>
      <c r="G1145" s="7" t="s">
        <v>9646</v>
      </c>
      <c r="H1145" s="7" t="s">
        <v>9647</v>
      </c>
      <c r="I1145" s="7" t="s">
        <v>9648</v>
      </c>
      <c r="J1145" s="7" t="s">
        <v>9649</v>
      </c>
      <c r="N1145" s="23" t="s">
        <v>415</v>
      </c>
    </row>
    <row r="1146" spans="1:14" x14ac:dyDescent="0.35">
      <c r="A1146" s="24" t="s">
        <v>6289</v>
      </c>
      <c r="B1146" s="24" t="s">
        <v>6290</v>
      </c>
      <c r="C1146" s="24" t="s">
        <v>6291</v>
      </c>
      <c r="E1146" s="31" t="s">
        <v>6292</v>
      </c>
      <c r="F1146" s="31" t="s">
        <v>6293</v>
      </c>
      <c r="G1146" s="31"/>
      <c r="H1146" s="31"/>
      <c r="I1146" s="31"/>
      <c r="J1146" s="31"/>
      <c r="N1146" s="23" t="s">
        <v>415</v>
      </c>
    </row>
    <row r="1147" spans="1:14" x14ac:dyDescent="0.35">
      <c r="A1147" s="24" t="s">
        <v>6296</v>
      </c>
      <c r="B1147" s="24" t="s">
        <v>6297</v>
      </c>
      <c r="C1147" s="24" t="s">
        <v>6298</v>
      </c>
      <c r="E1147" s="31" t="s">
        <v>6299</v>
      </c>
      <c r="F1147" s="31" t="s">
        <v>6300</v>
      </c>
      <c r="G1147" s="31" t="s">
        <v>6301</v>
      </c>
      <c r="H1147" s="31" t="s">
        <v>6302</v>
      </c>
      <c r="I1147" s="31" t="s">
        <v>6303</v>
      </c>
      <c r="J1147" s="31"/>
      <c r="N1147" s="23" t="s">
        <v>415</v>
      </c>
    </row>
    <row r="1148" spans="1:14" x14ac:dyDescent="0.35">
      <c r="A1148" s="24" t="s">
        <v>6306</v>
      </c>
      <c r="B1148" s="24" t="s">
        <v>6307</v>
      </c>
      <c r="C1148" s="24" t="s">
        <v>6308</v>
      </c>
      <c r="E1148" s="31" t="s">
        <v>6309</v>
      </c>
      <c r="F1148" s="31" t="s">
        <v>6310</v>
      </c>
      <c r="G1148" s="31" t="s">
        <v>6311</v>
      </c>
      <c r="H1148" s="31" t="s">
        <v>6312</v>
      </c>
      <c r="I1148" s="31" t="s">
        <v>6313</v>
      </c>
      <c r="J1148" s="31"/>
      <c r="N1148" s="23" t="s">
        <v>415</v>
      </c>
    </row>
    <row r="1149" spans="1:14" x14ac:dyDescent="0.35">
      <c r="A1149" s="24" t="s">
        <v>6314</v>
      </c>
      <c r="B1149" s="24" t="s">
        <v>6315</v>
      </c>
      <c r="C1149" s="24" t="s">
        <v>6316</v>
      </c>
      <c r="E1149" s="31" t="s">
        <v>6317</v>
      </c>
      <c r="F1149" s="31" t="s">
        <v>6318</v>
      </c>
      <c r="G1149" s="31" t="s">
        <v>6319</v>
      </c>
      <c r="H1149" s="31" t="s">
        <v>6320</v>
      </c>
      <c r="I1149" s="31" t="s">
        <v>6321</v>
      </c>
      <c r="J1149" s="31"/>
      <c r="N1149" s="23" t="s">
        <v>415</v>
      </c>
    </row>
    <row r="1150" spans="1:14" x14ac:dyDescent="0.35">
      <c r="A1150" s="24" t="s">
        <v>6322</v>
      </c>
      <c r="B1150" s="24" t="s">
        <v>6323</v>
      </c>
      <c r="C1150" s="24" t="s">
        <v>6324</v>
      </c>
      <c r="E1150" s="31" t="s">
        <v>6325</v>
      </c>
      <c r="F1150" s="31" t="s">
        <v>6326</v>
      </c>
      <c r="G1150" s="31" t="s">
        <v>6327</v>
      </c>
      <c r="H1150" s="31" t="s">
        <v>6328</v>
      </c>
      <c r="I1150" s="31" t="s">
        <v>6329</v>
      </c>
      <c r="J1150" s="31"/>
      <c r="N1150" s="23" t="s">
        <v>415</v>
      </c>
    </row>
    <row r="1151" spans="1:14" x14ac:dyDescent="0.35">
      <c r="A1151" s="24" t="s">
        <v>6330</v>
      </c>
      <c r="B1151" s="24" t="s">
        <v>6331</v>
      </c>
      <c r="C1151" s="24" t="s">
        <v>6332</v>
      </c>
      <c r="E1151" s="31" t="s">
        <v>6333</v>
      </c>
      <c r="F1151" s="31"/>
      <c r="G1151" s="31"/>
      <c r="H1151" s="31"/>
      <c r="I1151" s="31"/>
      <c r="J1151" s="31"/>
      <c r="N1151" s="23" t="s">
        <v>415</v>
      </c>
    </row>
    <row r="1152" spans="1:14" x14ac:dyDescent="0.35">
      <c r="A1152" s="24" t="s">
        <v>6334</v>
      </c>
      <c r="B1152" s="24" t="s">
        <v>6335</v>
      </c>
      <c r="C1152" s="24" t="s">
        <v>6336</v>
      </c>
      <c r="E1152" s="31" t="s">
        <v>6337</v>
      </c>
      <c r="F1152" s="31"/>
      <c r="G1152" s="31"/>
      <c r="H1152" s="31"/>
      <c r="I1152" s="31"/>
      <c r="J1152" s="31"/>
      <c r="N1152" s="23" t="s">
        <v>415</v>
      </c>
    </row>
    <row r="1153" spans="1:14" ht="16.2" x14ac:dyDescent="0.35">
      <c r="A1153" s="24" t="s">
        <v>6338</v>
      </c>
      <c r="B1153" s="24" t="s">
        <v>6339</v>
      </c>
      <c r="C1153" s="24" t="s">
        <v>6340</v>
      </c>
      <c r="E1153" s="31" t="s">
        <v>6341</v>
      </c>
      <c r="F1153" s="7" t="s">
        <v>6342</v>
      </c>
      <c r="G1153" s="7" t="s">
        <v>9650</v>
      </c>
      <c r="H1153" s="7" t="s">
        <v>9651</v>
      </c>
      <c r="I1153" s="7" t="s">
        <v>9652</v>
      </c>
      <c r="J1153" s="31"/>
      <c r="N1153" s="23" t="s">
        <v>1434</v>
      </c>
    </row>
    <row r="1154" spans="1:14" x14ac:dyDescent="0.35">
      <c r="A1154" s="24" t="s">
        <v>6343</v>
      </c>
      <c r="B1154" s="24" t="s">
        <v>6344</v>
      </c>
      <c r="C1154" s="24" t="s">
        <v>6345</v>
      </c>
      <c r="E1154" s="31" t="s">
        <v>6346</v>
      </c>
      <c r="F1154" s="31" t="s">
        <v>6347</v>
      </c>
      <c r="G1154" s="31" t="s">
        <v>6348</v>
      </c>
      <c r="H1154" s="31" t="s">
        <v>6349</v>
      </c>
      <c r="I1154" s="31" t="s">
        <v>6350</v>
      </c>
      <c r="J1154" s="31"/>
      <c r="N1154" s="23" t="s">
        <v>415</v>
      </c>
    </row>
    <row r="1155" spans="1:14" x14ac:dyDescent="0.35">
      <c r="A1155" s="24" t="s">
        <v>6351</v>
      </c>
      <c r="B1155" s="24" t="s">
        <v>6352</v>
      </c>
      <c r="C1155" s="24" t="s">
        <v>6353</v>
      </c>
      <c r="E1155" s="31" t="s">
        <v>6354</v>
      </c>
      <c r="F1155" s="31" t="s">
        <v>6355</v>
      </c>
      <c r="G1155" s="31"/>
      <c r="H1155" s="31"/>
      <c r="I1155" s="31"/>
      <c r="J1155" s="31"/>
      <c r="N1155" s="23" t="s">
        <v>415</v>
      </c>
    </row>
    <row r="1156" spans="1:14" x14ac:dyDescent="0.35">
      <c r="A1156" s="24" t="s">
        <v>6356</v>
      </c>
      <c r="B1156" s="24" t="s">
        <v>6357</v>
      </c>
      <c r="C1156" s="24" t="s">
        <v>6358</v>
      </c>
      <c r="E1156" s="31" t="s">
        <v>6359</v>
      </c>
      <c r="F1156" s="31" t="s">
        <v>6360</v>
      </c>
      <c r="G1156" s="31" t="s">
        <v>6361</v>
      </c>
      <c r="H1156" s="31" t="s">
        <v>6362</v>
      </c>
      <c r="I1156" s="31" t="s">
        <v>6363</v>
      </c>
      <c r="J1156" s="31"/>
      <c r="N1156" s="23" t="s">
        <v>415</v>
      </c>
    </row>
    <row r="1157" spans="1:14" x14ac:dyDescent="0.35">
      <c r="A1157" s="24" t="s">
        <v>6364</v>
      </c>
      <c r="B1157" s="24" t="s">
        <v>6365</v>
      </c>
      <c r="C1157" s="24" t="s">
        <v>6366</v>
      </c>
      <c r="E1157" s="31" t="s">
        <v>6367</v>
      </c>
      <c r="F1157" s="31"/>
      <c r="G1157" s="31"/>
      <c r="H1157" s="31"/>
      <c r="I1157" s="31"/>
      <c r="J1157" s="31"/>
      <c r="N1157" s="23" t="s">
        <v>415</v>
      </c>
    </row>
    <row r="1158" spans="1:14" x14ac:dyDescent="0.35">
      <c r="A1158" s="24" t="s">
        <v>6368</v>
      </c>
      <c r="B1158" s="24" t="s">
        <v>6369</v>
      </c>
      <c r="C1158" s="24" t="s">
        <v>6370</v>
      </c>
      <c r="E1158" s="31" t="s">
        <v>6371</v>
      </c>
      <c r="F1158" s="31" t="s">
        <v>6372</v>
      </c>
      <c r="G1158" s="31"/>
      <c r="H1158" s="31"/>
      <c r="I1158" s="31"/>
      <c r="J1158" s="31"/>
      <c r="N1158" s="23" t="s">
        <v>3413</v>
      </c>
    </row>
    <row r="1159" spans="1:14" x14ac:dyDescent="0.35">
      <c r="A1159" s="24" t="s">
        <v>6373</v>
      </c>
      <c r="B1159" s="24" t="s">
        <v>6374</v>
      </c>
      <c r="C1159" s="24" t="s">
        <v>6375</v>
      </c>
      <c r="E1159" s="31" t="s">
        <v>6376</v>
      </c>
      <c r="F1159" s="31"/>
      <c r="G1159" s="31"/>
      <c r="H1159" s="31"/>
      <c r="I1159" s="31"/>
      <c r="J1159" s="31"/>
      <c r="N1159" s="23" t="s">
        <v>415</v>
      </c>
    </row>
    <row r="1160" spans="1:14" x14ac:dyDescent="0.35">
      <c r="A1160" s="24" t="s">
        <v>6377</v>
      </c>
      <c r="B1160" s="24" t="s">
        <v>6378</v>
      </c>
      <c r="C1160" s="24" t="s">
        <v>6379</v>
      </c>
      <c r="E1160" s="31" t="s">
        <v>3834</v>
      </c>
      <c r="F1160" s="31" t="s">
        <v>3835</v>
      </c>
      <c r="G1160" s="31" t="s">
        <v>3836</v>
      </c>
      <c r="H1160" s="31" t="s">
        <v>3837</v>
      </c>
      <c r="I1160" s="31" t="s">
        <v>3838</v>
      </c>
      <c r="J1160" s="31"/>
      <c r="N1160" s="23" t="s">
        <v>415</v>
      </c>
    </row>
    <row r="1161" spans="1:14" x14ac:dyDescent="0.35">
      <c r="A1161" s="24" t="s">
        <v>6380</v>
      </c>
      <c r="B1161" s="24" t="s">
        <v>6381</v>
      </c>
      <c r="C1161" s="24" t="s">
        <v>6382</v>
      </c>
      <c r="E1161" s="31" t="s">
        <v>6383</v>
      </c>
      <c r="F1161" s="31" t="s">
        <v>6384</v>
      </c>
      <c r="G1161" s="31"/>
      <c r="H1161" s="31"/>
      <c r="I1161" s="31"/>
      <c r="J1161" s="31"/>
      <c r="N1161" s="23" t="s">
        <v>415</v>
      </c>
    </row>
    <row r="1162" spans="1:14" x14ac:dyDescent="0.35">
      <c r="A1162" s="24" t="s">
        <v>6385</v>
      </c>
      <c r="B1162" s="24" t="s">
        <v>6386</v>
      </c>
      <c r="C1162" s="24" t="s">
        <v>6387</v>
      </c>
      <c r="E1162" s="31" t="s">
        <v>6388</v>
      </c>
      <c r="F1162" s="31"/>
      <c r="G1162" s="31"/>
      <c r="H1162" s="31"/>
      <c r="I1162" s="31"/>
      <c r="J1162" s="31"/>
      <c r="N1162" s="23" t="s">
        <v>871</v>
      </c>
    </row>
    <row r="1163" spans="1:14" x14ac:dyDescent="0.35">
      <c r="A1163" s="24" t="s">
        <v>6389</v>
      </c>
      <c r="B1163" s="24" t="s">
        <v>6390</v>
      </c>
      <c r="C1163" s="24" t="s">
        <v>6391</v>
      </c>
      <c r="E1163" s="31" t="s">
        <v>6392</v>
      </c>
      <c r="F1163" s="31" t="s">
        <v>6393</v>
      </c>
      <c r="G1163" s="31" t="s">
        <v>6394</v>
      </c>
      <c r="H1163" s="31" t="s">
        <v>6395</v>
      </c>
      <c r="I1163" s="31" t="s">
        <v>6396</v>
      </c>
      <c r="J1163" s="31" t="s">
        <v>6397</v>
      </c>
      <c r="N1163" s="23" t="s">
        <v>415</v>
      </c>
    </row>
    <row r="1164" spans="1:14" x14ac:dyDescent="0.35">
      <c r="A1164" s="24" t="s">
        <v>6398</v>
      </c>
      <c r="B1164" s="24" t="s">
        <v>6399</v>
      </c>
      <c r="C1164" s="24" t="s">
        <v>6400</v>
      </c>
      <c r="E1164" s="31" t="s">
        <v>6401</v>
      </c>
      <c r="F1164" s="31" t="s">
        <v>6402</v>
      </c>
      <c r="G1164" s="31" t="s">
        <v>5573</v>
      </c>
      <c r="H1164" s="31" t="s">
        <v>5574</v>
      </c>
      <c r="I1164" s="31" t="s">
        <v>6403</v>
      </c>
      <c r="J1164" s="31"/>
      <c r="N1164" s="23" t="s">
        <v>415</v>
      </c>
    </row>
    <row r="1165" spans="1:14" x14ac:dyDescent="0.35">
      <c r="A1165" s="24" t="s">
        <v>6404</v>
      </c>
      <c r="B1165" s="24" t="s">
        <v>6405</v>
      </c>
      <c r="C1165" s="24" t="s">
        <v>6406</v>
      </c>
      <c r="E1165" s="31" t="s">
        <v>6407</v>
      </c>
      <c r="F1165" s="31" t="s">
        <v>6408</v>
      </c>
      <c r="G1165" s="31" t="s">
        <v>6409</v>
      </c>
      <c r="H1165" s="31" t="s">
        <v>6410</v>
      </c>
      <c r="I1165" s="31" t="s">
        <v>6411</v>
      </c>
      <c r="J1165" s="31"/>
      <c r="N1165" s="23" t="s">
        <v>415</v>
      </c>
    </row>
    <row r="1166" spans="1:14" ht="16.2" x14ac:dyDescent="0.35">
      <c r="A1166" s="24" t="s">
        <v>6412</v>
      </c>
      <c r="B1166" s="24" t="s">
        <v>6413</v>
      </c>
      <c r="C1166" s="24" t="s">
        <v>6414</v>
      </c>
      <c r="E1166" s="31" t="s">
        <v>6415</v>
      </c>
      <c r="F1166" s="7" t="s">
        <v>9678</v>
      </c>
      <c r="G1166" s="7" t="s">
        <v>9679</v>
      </c>
      <c r="H1166" s="7" t="s">
        <v>9680</v>
      </c>
      <c r="I1166" s="7" t="s">
        <v>9681</v>
      </c>
      <c r="J1166" s="7" t="s">
        <v>9682</v>
      </c>
      <c r="N1166" s="23" t="s">
        <v>415</v>
      </c>
    </row>
    <row r="1167" spans="1:14" x14ac:dyDescent="0.35">
      <c r="A1167" s="24" t="s">
        <v>6416</v>
      </c>
      <c r="B1167" s="24" t="s">
        <v>6417</v>
      </c>
      <c r="C1167" s="24" t="s">
        <v>6418</v>
      </c>
      <c r="E1167" s="31" t="s">
        <v>6419</v>
      </c>
      <c r="F1167" s="31" t="s">
        <v>6420</v>
      </c>
      <c r="G1167" s="31" t="s">
        <v>6421</v>
      </c>
      <c r="H1167" s="31" t="s">
        <v>6422</v>
      </c>
      <c r="I1167" s="31" t="s">
        <v>6423</v>
      </c>
      <c r="J1167" s="31"/>
      <c r="N1167" s="23" t="s">
        <v>415</v>
      </c>
    </row>
    <row r="1168" spans="1:14" x14ac:dyDescent="0.35">
      <c r="A1168" s="24" t="s">
        <v>6424</v>
      </c>
      <c r="B1168" s="24" t="s">
        <v>6425</v>
      </c>
      <c r="C1168" s="24" t="s">
        <v>6426</v>
      </c>
      <c r="E1168" s="31" t="s">
        <v>6427</v>
      </c>
      <c r="F1168" s="31" t="s">
        <v>6428</v>
      </c>
      <c r="G1168" s="31" t="s">
        <v>6429</v>
      </c>
      <c r="H1168" s="31" t="s">
        <v>6430</v>
      </c>
      <c r="I1168" s="31" t="s">
        <v>6431</v>
      </c>
      <c r="J1168" s="31"/>
      <c r="N1168" s="23" t="s">
        <v>415</v>
      </c>
    </row>
    <row r="1169" spans="1:14" x14ac:dyDescent="0.35">
      <c r="A1169" s="24" t="s">
        <v>6432</v>
      </c>
      <c r="B1169" s="24" t="s">
        <v>6433</v>
      </c>
      <c r="C1169" s="24" t="s">
        <v>6434</v>
      </c>
      <c r="E1169" s="31" t="s">
        <v>6435</v>
      </c>
      <c r="F1169" s="31" t="s">
        <v>6436</v>
      </c>
      <c r="G1169" s="31" t="s">
        <v>6437</v>
      </c>
      <c r="H1169" s="31" t="s">
        <v>6438</v>
      </c>
      <c r="I1169" s="31" t="s">
        <v>6439</v>
      </c>
      <c r="J1169" s="31"/>
      <c r="N1169" s="23" t="s">
        <v>415</v>
      </c>
    </row>
    <row r="1170" spans="1:14" x14ac:dyDescent="0.35">
      <c r="A1170" s="24" t="s">
        <v>6440</v>
      </c>
      <c r="B1170" s="24" t="s">
        <v>6441</v>
      </c>
      <c r="C1170" s="24" t="s">
        <v>6442</v>
      </c>
      <c r="E1170" s="31" t="s">
        <v>6443</v>
      </c>
      <c r="F1170" s="31"/>
      <c r="G1170" s="31"/>
      <c r="H1170" s="31"/>
      <c r="I1170" s="31"/>
      <c r="J1170" s="31"/>
      <c r="N1170" s="23" t="s">
        <v>415</v>
      </c>
    </row>
    <row r="1171" spans="1:14" x14ac:dyDescent="0.35">
      <c r="A1171" s="24" t="s">
        <v>6444</v>
      </c>
      <c r="B1171" s="24" t="s">
        <v>6445</v>
      </c>
      <c r="C1171" s="24" t="s">
        <v>6446</v>
      </c>
      <c r="E1171" s="31" t="s">
        <v>6447</v>
      </c>
      <c r="F1171" s="31" t="s">
        <v>6448</v>
      </c>
      <c r="G1171" s="31" t="s">
        <v>6449</v>
      </c>
      <c r="H1171" s="31" t="s">
        <v>6450</v>
      </c>
      <c r="I1171" s="31"/>
      <c r="J1171" s="31"/>
      <c r="N1171" s="23" t="s">
        <v>415</v>
      </c>
    </row>
    <row r="1172" spans="1:14" x14ac:dyDescent="0.35">
      <c r="A1172" s="24" t="s">
        <v>6451</v>
      </c>
      <c r="B1172" s="24" t="s">
        <v>6452</v>
      </c>
      <c r="C1172" s="24" t="s">
        <v>6453</v>
      </c>
      <c r="E1172" s="31" t="s">
        <v>6454</v>
      </c>
      <c r="F1172" s="31" t="s">
        <v>6455</v>
      </c>
      <c r="G1172" s="31" t="s">
        <v>6456</v>
      </c>
      <c r="H1172" s="31" t="s">
        <v>6457</v>
      </c>
      <c r="I1172" s="31" t="s">
        <v>6458</v>
      </c>
      <c r="J1172" s="31"/>
      <c r="N1172" s="23" t="s">
        <v>415</v>
      </c>
    </row>
    <row r="1173" spans="1:14" x14ac:dyDescent="0.35">
      <c r="A1173" s="24" t="s">
        <v>6459</v>
      </c>
      <c r="B1173" s="24" t="s">
        <v>6460</v>
      </c>
      <c r="C1173" s="24" t="s">
        <v>6461</v>
      </c>
      <c r="E1173" s="31" t="s">
        <v>6462</v>
      </c>
      <c r="F1173" s="31" t="s">
        <v>6463</v>
      </c>
      <c r="G1173" s="31" t="s">
        <v>6464</v>
      </c>
      <c r="H1173" s="31" t="s">
        <v>6465</v>
      </c>
      <c r="I1173" s="31" t="s">
        <v>6466</v>
      </c>
      <c r="J1173" s="31"/>
      <c r="N1173" s="23" t="s">
        <v>415</v>
      </c>
    </row>
    <row r="1174" spans="1:14" x14ac:dyDescent="0.35">
      <c r="A1174" s="24" t="s">
        <v>6467</v>
      </c>
      <c r="B1174" s="24" t="s">
        <v>6468</v>
      </c>
      <c r="C1174" s="24" t="s">
        <v>6469</v>
      </c>
      <c r="E1174" s="31" t="s">
        <v>6470</v>
      </c>
      <c r="F1174" s="31" t="s">
        <v>6471</v>
      </c>
      <c r="G1174" s="31" t="s">
        <v>6472</v>
      </c>
      <c r="H1174" s="31" t="s">
        <v>6473</v>
      </c>
      <c r="I1174" s="31" t="s">
        <v>6474</v>
      </c>
      <c r="J1174" s="31"/>
      <c r="N1174" s="23" t="s">
        <v>415</v>
      </c>
    </row>
    <row r="1175" spans="1:14" x14ac:dyDescent="0.35">
      <c r="A1175" s="24" t="s">
        <v>6475</v>
      </c>
      <c r="B1175" s="24" t="s">
        <v>6476</v>
      </c>
      <c r="C1175" s="24" t="s">
        <v>6477</v>
      </c>
      <c r="E1175" s="31" t="s">
        <v>6478</v>
      </c>
      <c r="F1175" s="31"/>
      <c r="G1175" s="31"/>
      <c r="H1175" s="31"/>
      <c r="I1175" s="31"/>
      <c r="J1175" s="31"/>
      <c r="N1175" s="23" t="s">
        <v>415</v>
      </c>
    </row>
    <row r="1176" spans="1:14" x14ac:dyDescent="0.35">
      <c r="A1176" s="24" t="s">
        <v>6479</v>
      </c>
      <c r="B1176" s="24" t="s">
        <v>6480</v>
      </c>
      <c r="C1176" s="24" t="s">
        <v>6481</v>
      </c>
      <c r="E1176" s="31" t="s">
        <v>6482</v>
      </c>
      <c r="F1176" s="31"/>
      <c r="G1176" s="31"/>
      <c r="H1176" s="31"/>
      <c r="I1176" s="31"/>
      <c r="J1176" s="31"/>
      <c r="N1176" s="23" t="s">
        <v>415</v>
      </c>
    </row>
    <row r="1177" spans="1:14" x14ac:dyDescent="0.35">
      <c r="A1177" s="24" t="s">
        <v>6483</v>
      </c>
      <c r="B1177" s="24" t="s">
        <v>6484</v>
      </c>
      <c r="C1177" s="24" t="s">
        <v>6485</v>
      </c>
      <c r="E1177" s="31" t="s">
        <v>6486</v>
      </c>
      <c r="F1177" s="31"/>
      <c r="G1177" s="31"/>
      <c r="H1177" s="31"/>
      <c r="I1177" s="31"/>
      <c r="J1177" s="31"/>
      <c r="N1177" s="23" t="s">
        <v>415</v>
      </c>
    </row>
    <row r="1178" spans="1:14" x14ac:dyDescent="0.35">
      <c r="A1178" s="24" t="s">
        <v>6487</v>
      </c>
      <c r="B1178" s="24" t="s">
        <v>6488</v>
      </c>
      <c r="C1178" s="24" t="s">
        <v>6489</v>
      </c>
      <c r="E1178" s="31" t="s">
        <v>6490</v>
      </c>
      <c r="F1178" s="31"/>
      <c r="G1178" s="31"/>
      <c r="H1178" s="31"/>
      <c r="I1178" s="31"/>
      <c r="J1178" s="31"/>
      <c r="N1178" s="23" t="s">
        <v>415</v>
      </c>
    </row>
    <row r="1179" spans="1:14" x14ac:dyDescent="0.35">
      <c r="A1179" s="24" t="s">
        <v>6491</v>
      </c>
      <c r="B1179" s="24" t="s">
        <v>6492</v>
      </c>
      <c r="C1179" s="24" t="s">
        <v>6493</v>
      </c>
      <c r="E1179" s="31" t="s">
        <v>6494</v>
      </c>
      <c r="F1179" s="31" t="s">
        <v>6495</v>
      </c>
      <c r="G1179" s="31" t="s">
        <v>6496</v>
      </c>
      <c r="H1179" s="31" t="s">
        <v>6497</v>
      </c>
      <c r="I1179" s="31"/>
      <c r="J1179" s="31"/>
      <c r="N1179" s="23" t="s">
        <v>415</v>
      </c>
    </row>
    <row r="1180" spans="1:14" x14ac:dyDescent="0.35">
      <c r="A1180" s="24" t="s">
        <v>6498</v>
      </c>
      <c r="B1180" s="24" t="s">
        <v>6499</v>
      </c>
      <c r="C1180" s="24" t="s">
        <v>6500</v>
      </c>
      <c r="E1180" s="31" t="s">
        <v>6501</v>
      </c>
      <c r="F1180" s="31"/>
      <c r="G1180" s="31"/>
      <c r="H1180" s="31"/>
      <c r="I1180" s="31"/>
      <c r="J1180" s="31"/>
      <c r="N1180" s="23" t="s">
        <v>415</v>
      </c>
    </row>
    <row r="1181" spans="1:14" x14ac:dyDescent="0.35">
      <c r="A1181" s="24" t="s">
        <v>73</v>
      </c>
      <c r="B1181" s="24" t="s">
        <v>6502</v>
      </c>
      <c r="C1181" s="24" t="s">
        <v>6503</v>
      </c>
      <c r="E1181" s="31" t="s">
        <v>6504</v>
      </c>
      <c r="F1181" s="31"/>
      <c r="G1181" s="31"/>
      <c r="H1181" s="31"/>
      <c r="I1181" s="31"/>
      <c r="J1181" s="31"/>
      <c r="N1181" s="23" t="s">
        <v>415</v>
      </c>
    </row>
    <row r="1182" spans="1:14" x14ac:dyDescent="0.35">
      <c r="A1182" s="24" t="s">
        <v>9507</v>
      </c>
      <c r="B1182" s="24" t="s">
        <v>6505</v>
      </c>
      <c r="C1182" s="24" t="s">
        <v>6506</v>
      </c>
      <c r="E1182" s="31" t="s">
        <v>9508</v>
      </c>
      <c r="F1182" s="31" t="s">
        <v>9509</v>
      </c>
      <c r="G1182" s="31" t="s">
        <v>9510</v>
      </c>
      <c r="H1182" s="31" t="s">
        <v>9511</v>
      </c>
      <c r="I1182" s="31" t="s">
        <v>9512</v>
      </c>
      <c r="J1182" s="31"/>
      <c r="N1182" s="23" t="s">
        <v>415</v>
      </c>
    </row>
    <row r="1183" spans="1:14" x14ac:dyDescent="0.35">
      <c r="A1183" s="24" t="s">
        <v>6507</v>
      </c>
      <c r="B1183" s="24" t="s">
        <v>6508</v>
      </c>
      <c r="C1183" s="24" t="s">
        <v>6509</v>
      </c>
      <c r="E1183" s="31" t="s">
        <v>6294</v>
      </c>
      <c r="F1183" s="31" t="s">
        <v>6295</v>
      </c>
      <c r="G1183" s="31" t="s">
        <v>6304</v>
      </c>
      <c r="H1183" s="31" t="s">
        <v>6305</v>
      </c>
      <c r="I1183" s="31" t="s">
        <v>6510</v>
      </c>
      <c r="J1183" s="31"/>
      <c r="N1183" s="23" t="s">
        <v>415</v>
      </c>
    </row>
    <row r="1184" spans="1:14" x14ac:dyDescent="0.35">
      <c r="A1184" s="24" t="s">
        <v>6511</v>
      </c>
      <c r="B1184" s="24" t="s">
        <v>6512</v>
      </c>
      <c r="C1184" s="24" t="s">
        <v>6513</v>
      </c>
      <c r="E1184" s="31" t="s">
        <v>6514</v>
      </c>
      <c r="F1184" s="31" t="s">
        <v>6515</v>
      </c>
      <c r="G1184" s="31" t="s">
        <v>6516</v>
      </c>
      <c r="H1184" s="31" t="s">
        <v>6517</v>
      </c>
      <c r="I1184" s="31" t="s">
        <v>6518</v>
      </c>
      <c r="J1184" s="31"/>
      <c r="N1184" s="23" t="s">
        <v>415</v>
      </c>
    </row>
    <row r="1185" spans="1:14" x14ac:dyDescent="0.35">
      <c r="A1185" s="24" t="s">
        <v>6519</v>
      </c>
      <c r="B1185" s="24" t="s">
        <v>6520</v>
      </c>
      <c r="C1185" s="24" t="s">
        <v>6521</v>
      </c>
      <c r="E1185" s="31" t="s">
        <v>6522</v>
      </c>
      <c r="F1185" s="31" t="s">
        <v>6523</v>
      </c>
      <c r="G1185" s="31" t="s">
        <v>6524</v>
      </c>
      <c r="H1185" s="31" t="s">
        <v>6525</v>
      </c>
      <c r="I1185" s="31" t="s">
        <v>6526</v>
      </c>
      <c r="J1185" s="31"/>
      <c r="N1185" s="23" t="s">
        <v>415</v>
      </c>
    </row>
    <row r="1186" spans="1:14" x14ac:dyDescent="0.35">
      <c r="A1186" s="24" t="s">
        <v>6527</v>
      </c>
      <c r="B1186" s="24" t="s">
        <v>6528</v>
      </c>
      <c r="C1186" s="24" t="s">
        <v>6529</v>
      </c>
      <c r="E1186" s="31" t="s">
        <v>6530</v>
      </c>
      <c r="F1186" s="31" t="s">
        <v>6531</v>
      </c>
      <c r="G1186" s="31" t="s">
        <v>6532</v>
      </c>
      <c r="H1186" s="31" t="s">
        <v>6533</v>
      </c>
      <c r="I1186" s="31" t="s">
        <v>6534</v>
      </c>
      <c r="J1186" s="31"/>
      <c r="N1186" s="23" t="s">
        <v>415</v>
      </c>
    </row>
    <row r="1187" spans="1:14" x14ac:dyDescent="0.35">
      <c r="A1187" s="24" t="s">
        <v>6535</v>
      </c>
      <c r="B1187" s="24" t="s">
        <v>6536</v>
      </c>
      <c r="C1187" s="24" t="s">
        <v>6537</v>
      </c>
      <c r="E1187" s="31" t="s">
        <v>6538</v>
      </c>
      <c r="F1187" s="31" t="s">
        <v>6539</v>
      </c>
      <c r="G1187" s="31" t="s">
        <v>6540</v>
      </c>
      <c r="H1187" s="31" t="s">
        <v>6541</v>
      </c>
      <c r="I1187" s="31" t="s">
        <v>6542</v>
      </c>
      <c r="J1187" s="31"/>
      <c r="N1187" s="23" t="s">
        <v>415</v>
      </c>
    </row>
    <row r="1188" spans="1:14" x14ac:dyDescent="0.35">
      <c r="A1188" s="24" t="s">
        <v>6543</v>
      </c>
      <c r="B1188" s="24" t="s">
        <v>6544</v>
      </c>
      <c r="C1188" s="24" t="s">
        <v>6545</v>
      </c>
      <c r="E1188" s="31" t="s">
        <v>6546</v>
      </c>
      <c r="F1188" s="31" t="s">
        <v>6547</v>
      </c>
      <c r="G1188" s="31"/>
      <c r="H1188" s="31"/>
      <c r="I1188" s="31"/>
      <c r="J1188" s="31"/>
      <c r="N1188" s="23" t="s">
        <v>415</v>
      </c>
    </row>
    <row r="1189" spans="1:14" x14ac:dyDescent="0.35">
      <c r="A1189" s="24" t="s">
        <v>6548</v>
      </c>
      <c r="B1189" s="24" t="s">
        <v>6549</v>
      </c>
      <c r="C1189" s="24" t="s">
        <v>6550</v>
      </c>
      <c r="E1189" s="31" t="s">
        <v>6551</v>
      </c>
      <c r="F1189" s="31"/>
      <c r="G1189" s="31"/>
      <c r="H1189" s="31"/>
      <c r="I1189" s="31"/>
      <c r="J1189" s="31"/>
      <c r="N1189" s="23" t="s">
        <v>415</v>
      </c>
    </row>
    <row r="1190" spans="1:14" x14ac:dyDescent="0.35">
      <c r="A1190" s="24" t="s">
        <v>6552</v>
      </c>
      <c r="B1190" s="24" t="s">
        <v>6553</v>
      </c>
      <c r="C1190" s="24" t="s">
        <v>6554</v>
      </c>
      <c r="E1190" s="31" t="s">
        <v>5594</v>
      </c>
      <c r="F1190" s="31" t="s">
        <v>5595</v>
      </c>
      <c r="G1190" s="31" t="s">
        <v>5596</v>
      </c>
      <c r="H1190" s="31" t="s">
        <v>5597</v>
      </c>
      <c r="I1190" s="31" t="s">
        <v>5598</v>
      </c>
      <c r="J1190" s="31"/>
      <c r="N1190" s="23" t="s">
        <v>458</v>
      </c>
    </row>
    <row r="1191" spans="1:14" x14ac:dyDescent="0.35">
      <c r="A1191" s="24" t="s">
        <v>6555</v>
      </c>
      <c r="B1191" s="24" t="s">
        <v>6556</v>
      </c>
      <c r="C1191" s="24" t="s">
        <v>6557</v>
      </c>
      <c r="E1191" s="31" t="s">
        <v>6558</v>
      </c>
      <c r="F1191" s="31" t="s">
        <v>6559</v>
      </c>
      <c r="G1191" s="31"/>
      <c r="H1191" s="31"/>
      <c r="I1191" s="31"/>
      <c r="J1191" s="31"/>
      <c r="N1191" s="23" t="s">
        <v>415</v>
      </c>
    </row>
    <row r="1192" spans="1:14" x14ac:dyDescent="0.35">
      <c r="A1192" s="24" t="s">
        <v>6560</v>
      </c>
      <c r="B1192" s="24" t="s">
        <v>6561</v>
      </c>
      <c r="C1192" s="24" t="s">
        <v>6562</v>
      </c>
      <c r="E1192" s="31" t="s">
        <v>6563</v>
      </c>
      <c r="F1192" s="31" t="s">
        <v>6564</v>
      </c>
      <c r="G1192" s="31" t="s">
        <v>6565</v>
      </c>
      <c r="H1192" s="31" t="s">
        <v>6566</v>
      </c>
      <c r="I1192" s="31" t="s">
        <v>6567</v>
      </c>
      <c r="J1192" s="31"/>
      <c r="N1192" s="23" t="s">
        <v>415</v>
      </c>
    </row>
    <row r="1193" spans="1:14" x14ac:dyDescent="0.35">
      <c r="A1193" s="24" t="s">
        <v>6568</v>
      </c>
      <c r="B1193" s="24" t="s">
        <v>6569</v>
      </c>
      <c r="C1193" s="24" t="s">
        <v>6570</v>
      </c>
      <c r="E1193" s="31" t="s">
        <v>6571</v>
      </c>
      <c r="F1193" s="31"/>
      <c r="G1193" s="31"/>
      <c r="H1193" s="31"/>
      <c r="I1193" s="31"/>
      <c r="J1193" s="31"/>
      <c r="N1193" s="23" t="s">
        <v>415</v>
      </c>
    </row>
    <row r="1194" spans="1:14" x14ac:dyDescent="0.35">
      <c r="A1194" s="24" t="s">
        <v>6572</v>
      </c>
      <c r="B1194" s="24" t="s">
        <v>6573</v>
      </c>
      <c r="C1194" s="24" t="s">
        <v>6574</v>
      </c>
      <c r="E1194" s="31" t="s">
        <v>6575</v>
      </c>
      <c r="N1194" s="23" t="s">
        <v>415</v>
      </c>
    </row>
    <row r="1195" spans="1:14" x14ac:dyDescent="0.35">
      <c r="A1195" s="24" t="s">
        <v>6576</v>
      </c>
      <c r="B1195" s="24" t="s">
        <v>6577</v>
      </c>
      <c r="C1195" s="24" t="s">
        <v>6578</v>
      </c>
      <c r="E1195" s="31" t="s">
        <v>6579</v>
      </c>
      <c r="F1195" s="31" t="s">
        <v>6580</v>
      </c>
      <c r="G1195" s="31" t="s">
        <v>6581</v>
      </c>
      <c r="H1195" s="31" t="s">
        <v>6582</v>
      </c>
      <c r="I1195" s="31" t="s">
        <v>6583</v>
      </c>
      <c r="J1195" s="31"/>
      <c r="N1195" s="23" t="s">
        <v>415</v>
      </c>
    </row>
    <row r="1196" spans="1:14" ht="16.2" x14ac:dyDescent="0.35">
      <c r="A1196" s="24" t="s">
        <v>324</v>
      </c>
      <c r="B1196" s="24" t="s">
        <v>6584</v>
      </c>
      <c r="C1196" s="24" t="s">
        <v>6585</v>
      </c>
      <c r="E1196" s="31" t="s">
        <v>6586</v>
      </c>
      <c r="F1196" s="31" t="s">
        <v>6587</v>
      </c>
      <c r="G1196" s="31" t="s">
        <v>6588</v>
      </c>
      <c r="H1196" s="31" t="s">
        <v>6589</v>
      </c>
      <c r="I1196" s="31" t="s">
        <v>6590</v>
      </c>
      <c r="J1196" s="7" t="s">
        <v>10107</v>
      </c>
      <c r="N1196" s="23" t="s">
        <v>1696</v>
      </c>
    </row>
    <row r="1197" spans="1:14" x14ac:dyDescent="0.35">
      <c r="A1197" s="24" t="s">
        <v>6591</v>
      </c>
      <c r="B1197" s="24" t="s">
        <v>6592</v>
      </c>
      <c r="C1197" s="24" t="s">
        <v>6593</v>
      </c>
      <c r="E1197" s="31" t="s">
        <v>6594</v>
      </c>
      <c r="F1197" s="31"/>
      <c r="G1197" s="31"/>
      <c r="H1197" s="31"/>
      <c r="I1197" s="31"/>
      <c r="J1197" s="31"/>
      <c r="N1197" s="23" t="s">
        <v>458</v>
      </c>
    </row>
    <row r="1198" spans="1:14" ht="16.2" x14ac:dyDescent="0.35">
      <c r="A1198" s="24" t="s">
        <v>6595</v>
      </c>
      <c r="B1198" s="24" t="s">
        <v>6596</v>
      </c>
      <c r="C1198" s="24" t="s">
        <v>6597</v>
      </c>
      <c r="E1198" s="31" t="s">
        <v>6598</v>
      </c>
      <c r="F1198" s="7" t="s">
        <v>9705</v>
      </c>
      <c r="G1198" s="7" t="s">
        <v>9706</v>
      </c>
      <c r="H1198" s="7" t="s">
        <v>9707</v>
      </c>
      <c r="I1198" s="7" t="s">
        <v>9708</v>
      </c>
      <c r="J1198" s="7" t="s">
        <v>9709</v>
      </c>
      <c r="N1198" s="23" t="s">
        <v>415</v>
      </c>
    </row>
    <row r="1199" spans="1:14" ht="16.2" x14ac:dyDescent="0.35">
      <c r="A1199" s="24" t="s">
        <v>6599</v>
      </c>
      <c r="B1199" s="24" t="s">
        <v>6600</v>
      </c>
      <c r="C1199" s="24" t="s">
        <v>9607</v>
      </c>
      <c r="E1199" s="31" t="s">
        <v>6601</v>
      </c>
      <c r="F1199" s="7" t="s">
        <v>9608</v>
      </c>
      <c r="G1199" s="7" t="s">
        <v>9609</v>
      </c>
      <c r="H1199" s="7" t="s">
        <v>9610</v>
      </c>
      <c r="I1199" s="7" t="s">
        <v>9611</v>
      </c>
      <c r="J1199" s="7" t="s">
        <v>9612</v>
      </c>
      <c r="N1199" s="23" t="s">
        <v>415</v>
      </c>
    </row>
    <row r="1200" spans="1:14" x14ac:dyDescent="0.35">
      <c r="A1200" s="24" t="s">
        <v>6602</v>
      </c>
      <c r="B1200" s="24" t="s">
        <v>6603</v>
      </c>
      <c r="C1200" s="24" t="s">
        <v>6604</v>
      </c>
      <c r="E1200" s="31" t="s">
        <v>6605</v>
      </c>
      <c r="F1200" s="31"/>
      <c r="G1200" s="31"/>
      <c r="H1200" s="31"/>
      <c r="I1200" s="31"/>
      <c r="J1200" s="31"/>
      <c r="N1200" s="23" t="s">
        <v>1434</v>
      </c>
    </row>
    <row r="1201" spans="1:14" x14ac:dyDescent="0.35">
      <c r="A1201" s="24" t="s">
        <v>6606</v>
      </c>
      <c r="B1201" s="24" t="s">
        <v>6607</v>
      </c>
      <c r="C1201" s="24" t="s">
        <v>6608</v>
      </c>
      <c r="E1201" s="31" t="s">
        <v>6609</v>
      </c>
      <c r="F1201" s="31" t="s">
        <v>6610</v>
      </c>
      <c r="G1201" s="31" t="s">
        <v>6611</v>
      </c>
      <c r="H1201" s="31" t="s">
        <v>6612</v>
      </c>
      <c r="I1201" s="31" t="s">
        <v>6613</v>
      </c>
      <c r="J1201" s="31"/>
      <c r="N1201" s="23" t="s">
        <v>415</v>
      </c>
    </row>
    <row r="1202" spans="1:14" x14ac:dyDescent="0.35">
      <c r="A1202" s="24" t="s">
        <v>6614</v>
      </c>
      <c r="B1202" s="24" t="s">
        <v>6615</v>
      </c>
      <c r="C1202" s="24" t="s">
        <v>6616</v>
      </c>
      <c r="E1202" s="31" t="s">
        <v>6617</v>
      </c>
      <c r="F1202" s="31" t="s">
        <v>6618</v>
      </c>
      <c r="G1202" s="31" t="s">
        <v>6619</v>
      </c>
      <c r="H1202" s="31" t="s">
        <v>6620</v>
      </c>
      <c r="I1202" s="31" t="s">
        <v>6621</v>
      </c>
      <c r="J1202" s="31"/>
      <c r="N1202" s="23" t="s">
        <v>415</v>
      </c>
    </row>
    <row r="1203" spans="1:14" x14ac:dyDescent="0.35">
      <c r="A1203" s="24" t="s">
        <v>6622</v>
      </c>
      <c r="B1203" s="24" t="s">
        <v>6623</v>
      </c>
      <c r="C1203" s="24" t="s">
        <v>6624</v>
      </c>
      <c r="E1203" s="31" t="s">
        <v>6625</v>
      </c>
      <c r="F1203" s="31" t="s">
        <v>6626</v>
      </c>
      <c r="G1203" s="31" t="s">
        <v>6627</v>
      </c>
      <c r="H1203" s="31" t="s">
        <v>6628</v>
      </c>
      <c r="I1203" s="31" t="s">
        <v>6629</v>
      </c>
      <c r="J1203" s="31"/>
      <c r="N1203" s="23" t="s">
        <v>1434</v>
      </c>
    </row>
    <row r="1204" spans="1:14" x14ac:dyDescent="0.35">
      <c r="A1204" s="24" t="s">
        <v>6630</v>
      </c>
      <c r="B1204" s="24" t="s">
        <v>6631</v>
      </c>
      <c r="C1204" s="24" t="s">
        <v>6632</v>
      </c>
      <c r="E1204" s="31" t="s">
        <v>6633</v>
      </c>
      <c r="F1204" s="31"/>
      <c r="G1204" s="31"/>
      <c r="H1204" s="31"/>
      <c r="I1204" s="31"/>
      <c r="J1204" s="31"/>
      <c r="N1204" s="23" t="s">
        <v>415</v>
      </c>
    </row>
    <row r="1205" spans="1:14" x14ac:dyDescent="0.35">
      <c r="A1205" s="24" t="s">
        <v>6634</v>
      </c>
      <c r="B1205" s="24" t="s">
        <v>6635</v>
      </c>
      <c r="C1205" s="24" t="s">
        <v>6636</v>
      </c>
      <c r="E1205" s="31" t="s">
        <v>6637</v>
      </c>
      <c r="F1205" s="31" t="s">
        <v>6638</v>
      </c>
      <c r="G1205" s="31" t="s">
        <v>6639</v>
      </c>
      <c r="H1205" s="31" t="s">
        <v>6640</v>
      </c>
      <c r="I1205" s="31" t="s">
        <v>6641</v>
      </c>
      <c r="J1205" s="31"/>
      <c r="N1205" s="23" t="s">
        <v>415</v>
      </c>
    </row>
    <row r="1206" spans="1:14" x14ac:dyDescent="0.35">
      <c r="A1206" s="24" t="s">
        <v>6642</v>
      </c>
      <c r="B1206" s="24" t="s">
        <v>6643</v>
      </c>
      <c r="C1206" s="24" t="s">
        <v>6644</v>
      </c>
      <c r="E1206" s="31" t="s">
        <v>6645</v>
      </c>
      <c r="F1206" s="31" t="s">
        <v>6646</v>
      </c>
      <c r="G1206" s="31" t="s">
        <v>6647</v>
      </c>
      <c r="H1206" s="31" t="s">
        <v>6648</v>
      </c>
      <c r="I1206" s="31" t="s">
        <v>6649</v>
      </c>
      <c r="J1206" s="31"/>
      <c r="N1206" s="23" t="s">
        <v>415</v>
      </c>
    </row>
    <row r="1207" spans="1:14" x14ac:dyDescent="0.35">
      <c r="A1207" s="24" t="s">
        <v>6650</v>
      </c>
      <c r="B1207" s="24" t="s">
        <v>6651</v>
      </c>
      <c r="C1207" s="24" t="s">
        <v>6652</v>
      </c>
      <c r="E1207" s="31" t="s">
        <v>5968</v>
      </c>
      <c r="F1207" s="31" t="s">
        <v>5969</v>
      </c>
      <c r="G1207" s="31" t="s">
        <v>6653</v>
      </c>
      <c r="H1207" s="31" t="s">
        <v>6654</v>
      </c>
      <c r="I1207" s="31" t="s">
        <v>6655</v>
      </c>
      <c r="J1207" s="31"/>
      <c r="N1207" s="23" t="s">
        <v>415</v>
      </c>
    </row>
    <row r="1208" spans="1:14" x14ac:dyDescent="0.35">
      <c r="A1208" s="24" t="s">
        <v>6656</v>
      </c>
      <c r="B1208" s="24" t="s">
        <v>6657</v>
      </c>
      <c r="C1208" s="24" t="s">
        <v>6658</v>
      </c>
      <c r="E1208" s="31" t="s">
        <v>6659</v>
      </c>
      <c r="F1208" s="31" t="s">
        <v>6660</v>
      </c>
      <c r="G1208" s="31" t="s">
        <v>6661</v>
      </c>
      <c r="H1208" s="31" t="s">
        <v>6662</v>
      </c>
      <c r="I1208" s="31" t="s">
        <v>6663</v>
      </c>
      <c r="J1208" s="31"/>
      <c r="N1208" s="23" t="s">
        <v>415</v>
      </c>
    </row>
    <row r="1209" spans="1:14" x14ac:dyDescent="0.35">
      <c r="A1209" s="24" t="s">
        <v>6664</v>
      </c>
      <c r="B1209" s="24" t="s">
        <v>6665</v>
      </c>
      <c r="C1209" s="24" t="s">
        <v>6666</v>
      </c>
      <c r="E1209" s="31" t="s">
        <v>6667</v>
      </c>
      <c r="F1209" s="31"/>
      <c r="G1209" s="31"/>
      <c r="H1209" s="31"/>
      <c r="I1209" s="31"/>
      <c r="J1209" s="31"/>
      <c r="N1209" s="23" t="s">
        <v>1434</v>
      </c>
    </row>
    <row r="1210" spans="1:14" x14ac:dyDescent="0.35">
      <c r="A1210" s="24" t="s">
        <v>6668</v>
      </c>
      <c r="B1210" s="24" t="s">
        <v>6669</v>
      </c>
      <c r="C1210" s="24" t="s">
        <v>6670</v>
      </c>
      <c r="E1210" s="31" t="s">
        <v>4619</v>
      </c>
      <c r="F1210" s="31" t="s">
        <v>6671</v>
      </c>
      <c r="G1210" s="31" t="s">
        <v>6672</v>
      </c>
      <c r="H1210" s="31" t="s">
        <v>6673</v>
      </c>
      <c r="I1210" s="31"/>
      <c r="J1210" s="31"/>
      <c r="N1210" s="23" t="s">
        <v>415</v>
      </c>
    </row>
    <row r="1211" spans="1:14" x14ac:dyDescent="0.35">
      <c r="A1211" s="24" t="s">
        <v>6674</v>
      </c>
      <c r="B1211" s="24" t="s">
        <v>6675</v>
      </c>
      <c r="C1211" s="24" t="s">
        <v>6676</v>
      </c>
      <c r="E1211" s="31" t="s">
        <v>6677</v>
      </c>
      <c r="F1211" s="31"/>
      <c r="G1211" s="31"/>
      <c r="H1211" s="31"/>
      <c r="I1211" s="31"/>
      <c r="J1211" s="31"/>
      <c r="N1211" s="23" t="s">
        <v>1696</v>
      </c>
    </row>
    <row r="1212" spans="1:14" ht="16.2" x14ac:dyDescent="0.35">
      <c r="A1212" s="24" t="s">
        <v>6678</v>
      </c>
      <c r="B1212" s="24" t="s">
        <v>6679</v>
      </c>
      <c r="C1212" s="24" t="s">
        <v>6680</v>
      </c>
      <c r="E1212" s="31" t="s">
        <v>5247</v>
      </c>
      <c r="F1212" s="31" t="s">
        <v>5248</v>
      </c>
      <c r="G1212" s="31" t="s">
        <v>5249</v>
      </c>
      <c r="H1212" s="31" t="s">
        <v>5250</v>
      </c>
      <c r="I1212" s="7" t="s">
        <v>3441</v>
      </c>
      <c r="J1212" s="31"/>
      <c r="N1212" s="23" t="s">
        <v>415</v>
      </c>
    </row>
    <row r="1213" spans="1:14" x14ac:dyDescent="0.35">
      <c r="A1213" s="24" t="s">
        <v>319</v>
      </c>
      <c r="B1213" s="24" t="s">
        <v>6681</v>
      </c>
      <c r="C1213" s="24" t="s">
        <v>6682</v>
      </c>
      <c r="E1213" s="31" t="s">
        <v>6683</v>
      </c>
      <c r="F1213" s="31"/>
      <c r="G1213" s="31"/>
      <c r="H1213" s="31"/>
      <c r="I1213" s="31"/>
      <c r="J1213" s="31"/>
      <c r="N1213" s="23" t="s">
        <v>415</v>
      </c>
    </row>
    <row r="1214" spans="1:14" x14ac:dyDescent="0.35">
      <c r="A1214" s="24" t="s">
        <v>6684</v>
      </c>
      <c r="B1214" s="24" t="s">
        <v>6685</v>
      </c>
      <c r="C1214" s="24" t="s">
        <v>6686</v>
      </c>
      <c r="E1214" s="31" t="s">
        <v>6687</v>
      </c>
      <c r="F1214" s="31" t="s">
        <v>6688</v>
      </c>
      <c r="G1214" s="31" t="s">
        <v>6689</v>
      </c>
      <c r="H1214" s="31" t="s">
        <v>6690</v>
      </c>
      <c r="I1214" s="31" t="s">
        <v>6691</v>
      </c>
      <c r="J1214" s="31"/>
      <c r="N1214" s="23" t="s">
        <v>415</v>
      </c>
    </row>
    <row r="1215" spans="1:14" x14ac:dyDescent="0.35">
      <c r="A1215" s="24" t="s">
        <v>6692</v>
      </c>
      <c r="B1215" s="24" t="s">
        <v>6693</v>
      </c>
      <c r="C1215" s="24" t="s">
        <v>6694</v>
      </c>
      <c r="E1215" s="31" t="s">
        <v>6695</v>
      </c>
      <c r="F1215" s="31" t="s">
        <v>6696</v>
      </c>
      <c r="G1215" s="31"/>
      <c r="H1215" s="31"/>
      <c r="I1215" s="31"/>
      <c r="J1215" s="31"/>
      <c r="N1215" s="23" t="s">
        <v>415</v>
      </c>
    </row>
    <row r="1216" spans="1:14" x14ac:dyDescent="0.35">
      <c r="A1216" s="24" t="s">
        <v>6697</v>
      </c>
      <c r="B1216" s="24" t="s">
        <v>6698</v>
      </c>
      <c r="C1216" s="24" t="s">
        <v>6699</v>
      </c>
      <c r="E1216" s="31" t="s">
        <v>6700</v>
      </c>
      <c r="F1216" s="31" t="s">
        <v>6701</v>
      </c>
      <c r="G1216" s="31" t="s">
        <v>6702</v>
      </c>
      <c r="H1216" s="31" t="s">
        <v>6703</v>
      </c>
      <c r="I1216" s="31" t="s">
        <v>6704</v>
      </c>
      <c r="J1216" s="31" t="s">
        <v>6705</v>
      </c>
      <c r="N1216" s="23" t="s">
        <v>415</v>
      </c>
    </row>
    <row r="1217" spans="1:14" x14ac:dyDescent="0.35">
      <c r="A1217" s="24" t="s">
        <v>6706</v>
      </c>
      <c r="B1217" s="24" t="s">
        <v>6707</v>
      </c>
      <c r="C1217" s="24" t="s">
        <v>6708</v>
      </c>
      <c r="E1217" s="31" t="s">
        <v>1343</v>
      </c>
      <c r="F1217" s="31" t="s">
        <v>1348</v>
      </c>
      <c r="G1217" s="31" t="s">
        <v>1358</v>
      </c>
      <c r="H1217" s="31" t="s">
        <v>1353</v>
      </c>
      <c r="I1217" s="31"/>
      <c r="J1217" s="31"/>
      <c r="N1217" s="23" t="s">
        <v>415</v>
      </c>
    </row>
    <row r="1218" spans="1:14" x14ac:dyDescent="0.35">
      <c r="A1218" s="24" t="s">
        <v>6709</v>
      </c>
      <c r="B1218" s="24" t="s">
        <v>6710</v>
      </c>
      <c r="C1218" s="24" t="s">
        <v>6711</v>
      </c>
      <c r="E1218" s="31" t="s">
        <v>4398</v>
      </c>
      <c r="F1218" s="31" t="s">
        <v>4399</v>
      </c>
      <c r="G1218" s="31"/>
      <c r="H1218" s="31"/>
      <c r="I1218" s="31"/>
      <c r="J1218" s="31"/>
      <c r="N1218" s="23" t="s">
        <v>415</v>
      </c>
    </row>
    <row r="1219" spans="1:14" x14ac:dyDescent="0.35">
      <c r="A1219" s="24" t="s">
        <v>6712</v>
      </c>
      <c r="B1219" s="24" t="s">
        <v>6713</v>
      </c>
      <c r="C1219" s="24" t="s">
        <v>6714</v>
      </c>
      <c r="E1219" s="31" t="s">
        <v>3694</v>
      </c>
      <c r="F1219" s="31"/>
      <c r="G1219" s="31"/>
      <c r="H1219" s="31"/>
      <c r="I1219" s="31"/>
      <c r="J1219" s="31"/>
      <c r="N1219" s="23" t="s">
        <v>415</v>
      </c>
    </row>
    <row r="1220" spans="1:14" x14ac:dyDescent="0.35">
      <c r="A1220" s="24" t="s">
        <v>6715</v>
      </c>
      <c r="B1220" s="24" t="s">
        <v>6716</v>
      </c>
      <c r="C1220" s="24" t="s">
        <v>6717</v>
      </c>
      <c r="E1220" s="31" t="s">
        <v>6718</v>
      </c>
      <c r="F1220" s="31"/>
      <c r="G1220" s="31"/>
      <c r="H1220" s="31"/>
      <c r="I1220" s="31"/>
      <c r="J1220" s="31"/>
      <c r="N1220" s="23" t="s">
        <v>415</v>
      </c>
    </row>
    <row r="1221" spans="1:14" x14ac:dyDescent="0.35">
      <c r="A1221" s="24" t="s">
        <v>6719</v>
      </c>
      <c r="B1221" s="24" t="s">
        <v>6720</v>
      </c>
      <c r="C1221" s="24" t="s">
        <v>6721</v>
      </c>
      <c r="E1221" s="31" t="s">
        <v>6722</v>
      </c>
      <c r="F1221" s="31" t="s">
        <v>6723</v>
      </c>
      <c r="G1221" s="31" t="s">
        <v>6724</v>
      </c>
      <c r="H1221" s="31" t="s">
        <v>6725</v>
      </c>
      <c r="I1221" s="31" t="s">
        <v>6726</v>
      </c>
      <c r="J1221" s="31"/>
      <c r="N1221" s="23" t="s">
        <v>415</v>
      </c>
    </row>
    <row r="1222" spans="1:14" x14ac:dyDescent="0.35">
      <c r="A1222" s="24" t="s">
        <v>6727</v>
      </c>
      <c r="B1222" s="24" t="s">
        <v>6728</v>
      </c>
      <c r="C1222" s="24" t="s">
        <v>6729</v>
      </c>
      <c r="E1222" s="31" t="s">
        <v>6730</v>
      </c>
      <c r="F1222" s="31"/>
      <c r="G1222" s="31"/>
      <c r="H1222" s="31"/>
      <c r="I1222" s="31"/>
      <c r="J1222" s="31"/>
      <c r="N1222" s="23" t="s">
        <v>415</v>
      </c>
    </row>
    <row r="1223" spans="1:14" x14ac:dyDescent="0.35">
      <c r="A1223" s="24" t="s">
        <v>6731</v>
      </c>
      <c r="B1223" s="24" t="s">
        <v>6732</v>
      </c>
      <c r="C1223" s="24" t="s">
        <v>6733</v>
      </c>
      <c r="E1223" s="31" t="s">
        <v>4346</v>
      </c>
      <c r="F1223" s="31" t="s">
        <v>6734</v>
      </c>
      <c r="G1223" s="31" t="s">
        <v>6735</v>
      </c>
      <c r="H1223" s="31" t="s">
        <v>6736</v>
      </c>
      <c r="I1223" s="31" t="s">
        <v>6737</v>
      </c>
      <c r="J1223" s="31"/>
      <c r="N1223" s="23" t="s">
        <v>415</v>
      </c>
    </row>
    <row r="1224" spans="1:14" x14ac:dyDescent="0.35">
      <c r="A1224" s="24" t="s">
        <v>6738</v>
      </c>
      <c r="B1224" s="24" t="s">
        <v>6739</v>
      </c>
      <c r="C1224" s="24" t="s">
        <v>6740</v>
      </c>
      <c r="E1224" s="31" t="s">
        <v>6741</v>
      </c>
      <c r="F1224" s="31"/>
      <c r="G1224" s="31"/>
      <c r="H1224" s="31"/>
      <c r="I1224" s="31"/>
      <c r="J1224" s="31"/>
      <c r="N1224" s="23" t="s">
        <v>1434</v>
      </c>
    </row>
    <row r="1225" spans="1:14" x14ac:dyDescent="0.35">
      <c r="A1225" s="24" t="s">
        <v>6742</v>
      </c>
      <c r="B1225" s="24" t="s">
        <v>6743</v>
      </c>
      <c r="C1225" s="24" t="s">
        <v>6744</v>
      </c>
      <c r="E1225" s="31" t="s">
        <v>6745</v>
      </c>
      <c r="F1225" s="31" t="s">
        <v>6746</v>
      </c>
      <c r="G1225" s="31" t="s">
        <v>6747</v>
      </c>
      <c r="H1225" s="31" t="s">
        <v>6748</v>
      </c>
      <c r="I1225" s="31" t="s">
        <v>6749</v>
      </c>
      <c r="J1225" s="31"/>
      <c r="N1225" s="23" t="s">
        <v>415</v>
      </c>
    </row>
    <row r="1226" spans="1:14" x14ac:dyDescent="0.35">
      <c r="A1226" s="24" t="s">
        <v>6750</v>
      </c>
      <c r="B1226" s="24" t="s">
        <v>6751</v>
      </c>
      <c r="C1226" s="24" t="s">
        <v>6752</v>
      </c>
      <c r="E1226" s="31" t="s">
        <v>6753</v>
      </c>
      <c r="F1226" s="31" t="s">
        <v>6754</v>
      </c>
      <c r="G1226" s="31" t="s">
        <v>6755</v>
      </c>
      <c r="H1226" s="31" t="s">
        <v>6756</v>
      </c>
      <c r="I1226" s="31" t="s">
        <v>6757</v>
      </c>
      <c r="J1226" s="31"/>
      <c r="N1226" s="23" t="s">
        <v>415</v>
      </c>
    </row>
    <row r="1227" spans="1:14" x14ac:dyDescent="0.35">
      <c r="A1227" s="24" t="s">
        <v>6758</v>
      </c>
      <c r="B1227" s="24" t="s">
        <v>6759</v>
      </c>
      <c r="C1227" s="24" t="s">
        <v>6760</v>
      </c>
      <c r="D1227" s="24" t="s">
        <v>9534</v>
      </c>
      <c r="E1227" s="31" t="s">
        <v>5334</v>
      </c>
      <c r="F1227" s="31" t="s">
        <v>5335</v>
      </c>
      <c r="G1227" s="31" t="s">
        <v>5336</v>
      </c>
      <c r="H1227" s="31" t="s">
        <v>5337</v>
      </c>
      <c r="I1227" s="31"/>
      <c r="J1227" s="31"/>
      <c r="N1227" s="23" t="s">
        <v>3413</v>
      </c>
    </row>
    <row r="1228" spans="1:14" x14ac:dyDescent="0.35">
      <c r="A1228" s="24" t="s">
        <v>6761</v>
      </c>
      <c r="B1228" s="24" t="s">
        <v>6762</v>
      </c>
      <c r="C1228" s="24" t="s">
        <v>6763</v>
      </c>
      <c r="E1228" s="31" t="s">
        <v>6764</v>
      </c>
      <c r="F1228" s="31" t="s">
        <v>6765</v>
      </c>
      <c r="G1228" s="31" t="s">
        <v>6766</v>
      </c>
      <c r="H1228" s="31"/>
      <c r="I1228" s="31"/>
      <c r="J1228" s="31"/>
      <c r="N1228" s="23" t="s">
        <v>1434</v>
      </c>
    </row>
    <row r="1229" spans="1:14" x14ac:dyDescent="0.35">
      <c r="A1229" s="24" t="s">
        <v>6767</v>
      </c>
      <c r="B1229" s="24" t="s">
        <v>6768</v>
      </c>
      <c r="C1229" s="24" t="s">
        <v>6769</v>
      </c>
      <c r="E1229" s="31" t="s">
        <v>6770</v>
      </c>
      <c r="F1229" s="31" t="s">
        <v>6771</v>
      </c>
      <c r="G1229" s="31"/>
      <c r="H1229" s="31"/>
      <c r="I1229" s="31"/>
      <c r="J1229" s="31"/>
      <c r="N1229" s="23" t="s">
        <v>415</v>
      </c>
    </row>
    <row r="1230" spans="1:14" x14ac:dyDescent="0.35">
      <c r="A1230" s="24" t="s">
        <v>6772</v>
      </c>
      <c r="B1230" s="24" t="s">
        <v>6773</v>
      </c>
      <c r="C1230" s="24" t="s">
        <v>6774</v>
      </c>
      <c r="E1230" s="31" t="s">
        <v>6226</v>
      </c>
      <c r="F1230" s="31" t="s">
        <v>6227</v>
      </c>
      <c r="G1230" s="31" t="s">
        <v>6228</v>
      </c>
      <c r="H1230" s="31" t="s">
        <v>6775</v>
      </c>
      <c r="I1230" s="31" t="s">
        <v>6776</v>
      </c>
      <c r="J1230" s="31"/>
      <c r="N1230" s="23" t="s">
        <v>415</v>
      </c>
    </row>
    <row r="1231" spans="1:14" x14ac:dyDescent="0.35">
      <c r="A1231" s="24" t="s">
        <v>6777</v>
      </c>
      <c r="B1231" s="24" t="s">
        <v>6778</v>
      </c>
      <c r="C1231" s="24" t="s">
        <v>6779</v>
      </c>
      <c r="E1231" s="31" t="s">
        <v>6780</v>
      </c>
      <c r="F1231" s="31"/>
      <c r="G1231" s="31"/>
      <c r="H1231" s="31"/>
      <c r="I1231" s="31"/>
      <c r="J1231" s="31"/>
      <c r="N1231" s="23" t="s">
        <v>415</v>
      </c>
    </row>
    <row r="1232" spans="1:14" x14ac:dyDescent="0.35">
      <c r="A1232" s="24" t="s">
        <v>6781</v>
      </c>
      <c r="B1232" s="24" t="s">
        <v>6782</v>
      </c>
      <c r="C1232" s="24" t="s">
        <v>6783</v>
      </c>
      <c r="E1232" s="31" t="s">
        <v>6784</v>
      </c>
      <c r="F1232" s="31"/>
      <c r="G1232" s="31"/>
      <c r="H1232" s="31"/>
      <c r="I1232" s="31"/>
      <c r="J1232" s="31"/>
      <c r="N1232" s="23" t="s">
        <v>415</v>
      </c>
    </row>
    <row r="1233" spans="1:14" x14ac:dyDescent="0.35">
      <c r="A1233" s="24" t="s">
        <v>6785</v>
      </c>
      <c r="B1233" s="24" t="s">
        <v>6786</v>
      </c>
      <c r="C1233" s="24" t="s">
        <v>6787</v>
      </c>
      <c r="E1233" s="31" t="s">
        <v>6788</v>
      </c>
      <c r="F1233" s="31"/>
      <c r="G1233" s="31"/>
      <c r="H1233" s="31"/>
      <c r="I1233" s="31"/>
      <c r="J1233" s="31"/>
      <c r="N1233" s="23" t="s">
        <v>415</v>
      </c>
    </row>
    <row r="1234" spans="1:14" x14ac:dyDescent="0.35">
      <c r="A1234" s="24" t="s">
        <v>6789</v>
      </c>
      <c r="B1234" s="24" t="s">
        <v>6790</v>
      </c>
      <c r="C1234" s="24" t="s">
        <v>6791</v>
      </c>
      <c r="E1234" s="31" t="s">
        <v>4795</v>
      </c>
      <c r="F1234" s="31" t="s">
        <v>4796</v>
      </c>
      <c r="G1234" s="31" t="s">
        <v>4797</v>
      </c>
      <c r="H1234" s="31" t="s">
        <v>4798</v>
      </c>
      <c r="I1234" s="31" t="s">
        <v>4799</v>
      </c>
      <c r="J1234" s="31"/>
      <c r="N1234" s="23" t="s">
        <v>415</v>
      </c>
    </row>
    <row r="1235" spans="1:14" x14ac:dyDescent="0.35">
      <c r="A1235" s="24" t="s">
        <v>6792</v>
      </c>
      <c r="B1235" s="24" t="s">
        <v>6793</v>
      </c>
      <c r="C1235" s="24" t="s">
        <v>6794</v>
      </c>
      <c r="E1235" s="31" t="s">
        <v>6795</v>
      </c>
      <c r="F1235" s="31" t="s">
        <v>6796</v>
      </c>
      <c r="G1235" s="31" t="s">
        <v>6797</v>
      </c>
      <c r="H1235" s="31" t="s">
        <v>6798</v>
      </c>
      <c r="I1235" s="31" t="s">
        <v>6799</v>
      </c>
      <c r="J1235" s="31"/>
      <c r="N1235" s="23" t="s">
        <v>1434</v>
      </c>
    </row>
    <row r="1236" spans="1:14" x14ac:dyDescent="0.35">
      <c r="A1236" s="24" t="s">
        <v>6800</v>
      </c>
      <c r="B1236" s="24" t="s">
        <v>6801</v>
      </c>
      <c r="C1236" s="24" t="s">
        <v>6802</v>
      </c>
      <c r="E1236" s="31" t="s">
        <v>6803</v>
      </c>
      <c r="F1236" s="31"/>
      <c r="G1236" s="31"/>
      <c r="H1236" s="31"/>
      <c r="I1236" s="31"/>
      <c r="J1236" s="31"/>
      <c r="N1236" s="23" t="s">
        <v>415</v>
      </c>
    </row>
    <row r="1237" spans="1:14" x14ac:dyDescent="0.35">
      <c r="A1237" s="24" t="s">
        <v>6804</v>
      </c>
      <c r="B1237" s="24" t="s">
        <v>6805</v>
      </c>
      <c r="C1237" s="24" t="s">
        <v>6806</v>
      </c>
      <c r="E1237" s="31" t="s">
        <v>6807</v>
      </c>
      <c r="F1237" s="31" t="s">
        <v>6808</v>
      </c>
      <c r="G1237" s="31" t="s">
        <v>6809</v>
      </c>
      <c r="H1237" s="31" t="s">
        <v>6810</v>
      </c>
      <c r="I1237" s="31"/>
      <c r="J1237" s="31"/>
      <c r="N1237" s="23" t="s">
        <v>1696</v>
      </c>
    </row>
    <row r="1238" spans="1:14" x14ac:dyDescent="0.35">
      <c r="A1238" s="24" t="s">
        <v>6811</v>
      </c>
      <c r="B1238" s="24" t="s">
        <v>6812</v>
      </c>
      <c r="C1238" s="24" t="s">
        <v>6813</v>
      </c>
      <c r="E1238" s="31" t="s">
        <v>6814</v>
      </c>
      <c r="F1238" s="31" t="s">
        <v>6815</v>
      </c>
      <c r="G1238" s="31"/>
      <c r="H1238" s="31"/>
      <c r="I1238" s="31"/>
      <c r="J1238" s="31"/>
      <c r="N1238" s="23" t="s">
        <v>871</v>
      </c>
    </row>
    <row r="1239" spans="1:14" x14ac:dyDescent="0.35">
      <c r="A1239" s="24" t="s">
        <v>6816</v>
      </c>
      <c r="B1239" s="24" t="s">
        <v>6817</v>
      </c>
      <c r="C1239" s="24" t="s">
        <v>6818</v>
      </c>
      <c r="E1239" s="31" t="s">
        <v>6819</v>
      </c>
      <c r="F1239" s="31"/>
      <c r="G1239" s="31"/>
      <c r="H1239" s="31"/>
      <c r="I1239" s="31"/>
      <c r="J1239" s="31"/>
      <c r="N1239" s="23" t="s">
        <v>415</v>
      </c>
    </row>
    <row r="1240" spans="1:14" x14ac:dyDescent="0.35">
      <c r="A1240" s="24" t="s">
        <v>6820</v>
      </c>
      <c r="B1240" s="24" t="s">
        <v>6821</v>
      </c>
      <c r="C1240" s="24" t="s">
        <v>6822</v>
      </c>
      <c r="E1240" s="31" t="s">
        <v>6823</v>
      </c>
      <c r="F1240" s="31"/>
      <c r="G1240" s="31"/>
      <c r="H1240" s="31"/>
      <c r="I1240" s="31"/>
      <c r="J1240" s="31"/>
      <c r="N1240" s="23" t="s">
        <v>415</v>
      </c>
    </row>
    <row r="1241" spans="1:14" x14ac:dyDescent="0.35">
      <c r="A1241" s="24" t="s">
        <v>6824</v>
      </c>
      <c r="B1241" s="24" t="s">
        <v>6825</v>
      </c>
      <c r="C1241" s="24" t="s">
        <v>6826</v>
      </c>
      <c r="E1241" s="31" t="s">
        <v>4570</v>
      </c>
      <c r="F1241" s="31" t="s">
        <v>4571</v>
      </c>
      <c r="G1241" s="31" t="s">
        <v>4572</v>
      </c>
      <c r="H1241" s="31" t="s">
        <v>4573</v>
      </c>
      <c r="I1241" s="31" t="s">
        <v>4574</v>
      </c>
      <c r="J1241" s="31"/>
      <c r="N1241" s="23" t="s">
        <v>3413</v>
      </c>
    </row>
    <row r="1242" spans="1:14" x14ac:dyDescent="0.35">
      <c r="A1242" s="24" t="s">
        <v>6831</v>
      </c>
      <c r="B1242" s="24" t="s">
        <v>6832</v>
      </c>
      <c r="C1242" s="24" t="s">
        <v>6833</v>
      </c>
      <c r="E1242" s="31" t="s">
        <v>6834</v>
      </c>
      <c r="F1242" s="31" t="s">
        <v>6835</v>
      </c>
      <c r="G1242" s="31" t="s">
        <v>6836</v>
      </c>
      <c r="H1242" s="31" t="s">
        <v>6837</v>
      </c>
      <c r="I1242" s="31" t="s">
        <v>6838</v>
      </c>
      <c r="J1242" s="31"/>
      <c r="N1242" s="23" t="s">
        <v>415</v>
      </c>
    </row>
    <row r="1243" spans="1:14" x14ac:dyDescent="0.35">
      <c r="A1243" s="24" t="s">
        <v>6839</v>
      </c>
      <c r="B1243" s="24" t="s">
        <v>6840</v>
      </c>
      <c r="C1243" s="24" t="s">
        <v>6841</v>
      </c>
      <c r="E1243" s="31" t="s">
        <v>6842</v>
      </c>
      <c r="F1243" s="31" t="s">
        <v>6843</v>
      </c>
      <c r="G1243" s="31" t="s">
        <v>6844</v>
      </c>
      <c r="H1243" s="31" t="s">
        <v>6845</v>
      </c>
      <c r="I1243" s="31"/>
      <c r="J1243" s="31"/>
      <c r="N1243" s="23" t="s">
        <v>415</v>
      </c>
    </row>
    <row r="1244" spans="1:14" x14ac:dyDescent="0.35">
      <c r="A1244" s="24" t="s">
        <v>6846</v>
      </c>
      <c r="B1244" s="24" t="s">
        <v>6847</v>
      </c>
      <c r="C1244" s="24" t="s">
        <v>6848</v>
      </c>
      <c r="E1244" s="31" t="s">
        <v>6849</v>
      </c>
      <c r="F1244" s="31" t="s">
        <v>6850</v>
      </c>
      <c r="G1244" s="31" t="s">
        <v>6851</v>
      </c>
      <c r="H1244" s="31" t="s">
        <v>6852</v>
      </c>
      <c r="I1244" s="31" t="s">
        <v>6853</v>
      </c>
      <c r="J1244" s="31" t="s">
        <v>6854</v>
      </c>
      <c r="N1244" s="23" t="s">
        <v>415</v>
      </c>
    </row>
    <row r="1245" spans="1:14" x14ac:dyDescent="0.35">
      <c r="A1245" s="24" t="s">
        <v>6855</v>
      </c>
      <c r="B1245" s="24" t="s">
        <v>6855</v>
      </c>
      <c r="C1245" s="24" t="s">
        <v>6856</v>
      </c>
      <c r="E1245" s="31" t="s">
        <v>2543</v>
      </c>
      <c r="F1245" s="31"/>
      <c r="G1245" s="31"/>
      <c r="H1245" s="31"/>
      <c r="I1245" s="31"/>
      <c r="J1245" s="31"/>
      <c r="N1245" s="23" t="s">
        <v>871</v>
      </c>
    </row>
    <row r="1246" spans="1:14" x14ac:dyDescent="0.35">
      <c r="A1246" s="24" t="s">
        <v>6857</v>
      </c>
      <c r="B1246" s="24" t="s">
        <v>6858</v>
      </c>
      <c r="C1246" s="24" t="s">
        <v>6859</v>
      </c>
      <c r="E1246" s="31" t="s">
        <v>6860</v>
      </c>
      <c r="F1246" s="31" t="s">
        <v>6861</v>
      </c>
      <c r="G1246" s="31" t="s">
        <v>6862</v>
      </c>
      <c r="H1246" s="31" t="s">
        <v>6863</v>
      </c>
      <c r="I1246" s="31" t="s">
        <v>6864</v>
      </c>
      <c r="J1246" s="31"/>
      <c r="N1246" s="23" t="s">
        <v>1169</v>
      </c>
    </row>
    <row r="1247" spans="1:14" x14ac:dyDescent="0.35">
      <c r="A1247" s="24" t="s">
        <v>6865</v>
      </c>
      <c r="B1247" s="24" t="s">
        <v>6866</v>
      </c>
      <c r="C1247" s="24" t="s">
        <v>6867</v>
      </c>
      <c r="E1247" s="31" t="s">
        <v>6868</v>
      </c>
      <c r="F1247" s="31" t="s">
        <v>6869</v>
      </c>
      <c r="G1247" s="31" t="s">
        <v>6870</v>
      </c>
      <c r="H1247" s="31" t="s">
        <v>6871</v>
      </c>
      <c r="I1247" s="31"/>
      <c r="J1247" s="31"/>
      <c r="N1247" s="23" t="s">
        <v>415</v>
      </c>
    </row>
    <row r="1248" spans="1:14" x14ac:dyDescent="0.35">
      <c r="A1248" s="24" t="s">
        <v>6872</v>
      </c>
      <c r="B1248" s="24" t="s">
        <v>6872</v>
      </c>
      <c r="C1248" s="24" t="s">
        <v>6873</v>
      </c>
      <c r="E1248" s="31" t="s">
        <v>6874</v>
      </c>
      <c r="F1248" s="31" t="s">
        <v>6875</v>
      </c>
      <c r="G1248" s="31"/>
      <c r="H1248" s="31"/>
      <c r="I1248" s="31"/>
      <c r="J1248" s="31"/>
      <c r="N1248" s="23" t="s">
        <v>871</v>
      </c>
    </row>
    <row r="1249" spans="1:14" x14ac:dyDescent="0.35">
      <c r="A1249" s="24" t="s">
        <v>6876</v>
      </c>
      <c r="B1249" s="24" t="s">
        <v>6877</v>
      </c>
      <c r="C1249" s="24" t="s">
        <v>6878</v>
      </c>
      <c r="E1249" s="31" t="s">
        <v>5119</v>
      </c>
      <c r="F1249" s="31" t="s">
        <v>6618</v>
      </c>
      <c r="G1249" s="31" t="s">
        <v>6619</v>
      </c>
      <c r="H1249" s="31" t="s">
        <v>6879</v>
      </c>
      <c r="I1249" s="31" t="s">
        <v>6621</v>
      </c>
      <c r="J1249" s="31"/>
      <c r="N1249" s="23" t="s">
        <v>415</v>
      </c>
    </row>
    <row r="1250" spans="1:14" x14ac:dyDescent="0.35">
      <c r="A1250" s="24" t="s">
        <v>6880</v>
      </c>
      <c r="B1250" s="24" t="s">
        <v>6881</v>
      </c>
      <c r="C1250" s="24" t="s">
        <v>6882</v>
      </c>
      <c r="E1250" s="31" t="s">
        <v>6883</v>
      </c>
      <c r="F1250" s="31"/>
      <c r="G1250" s="31"/>
      <c r="H1250" s="31"/>
      <c r="I1250" s="31"/>
      <c r="J1250" s="31"/>
      <c r="N1250" s="23" t="s">
        <v>415</v>
      </c>
    </row>
    <row r="1251" spans="1:14" x14ac:dyDescent="0.35">
      <c r="A1251" s="24" t="s">
        <v>6884</v>
      </c>
      <c r="B1251" s="24" t="s">
        <v>6885</v>
      </c>
      <c r="C1251" s="24" t="s">
        <v>6886</v>
      </c>
      <c r="E1251" s="31" t="s">
        <v>6887</v>
      </c>
      <c r="F1251" s="31" t="s">
        <v>6888</v>
      </c>
      <c r="G1251" s="31" t="s">
        <v>5938</v>
      </c>
      <c r="H1251" s="31" t="s">
        <v>4811</v>
      </c>
      <c r="I1251" s="31"/>
      <c r="J1251" s="31"/>
      <c r="N1251" s="23" t="s">
        <v>415</v>
      </c>
    </row>
    <row r="1252" spans="1:14" x14ac:dyDescent="0.35">
      <c r="A1252" s="24" t="s">
        <v>6889</v>
      </c>
      <c r="B1252" s="24" t="s">
        <v>6890</v>
      </c>
      <c r="C1252" s="24" t="s">
        <v>6891</v>
      </c>
      <c r="E1252" s="31" t="s">
        <v>6892</v>
      </c>
      <c r="F1252" s="31" t="s">
        <v>6893</v>
      </c>
      <c r="G1252" s="31"/>
      <c r="H1252" s="31"/>
      <c r="I1252" s="31"/>
      <c r="J1252" s="31"/>
      <c r="N1252" s="23" t="s">
        <v>415</v>
      </c>
    </row>
    <row r="1253" spans="1:14" x14ac:dyDescent="0.35">
      <c r="A1253" s="24" t="s">
        <v>6894</v>
      </c>
      <c r="B1253" s="24" t="s">
        <v>6895</v>
      </c>
      <c r="C1253" s="24" t="s">
        <v>6896</v>
      </c>
      <c r="E1253" s="31" t="s">
        <v>6897</v>
      </c>
      <c r="F1253" s="31"/>
      <c r="G1253" s="31"/>
      <c r="H1253" s="31"/>
      <c r="I1253" s="31"/>
      <c r="J1253" s="31"/>
      <c r="N1253" s="23" t="s">
        <v>415</v>
      </c>
    </row>
    <row r="1254" spans="1:14" x14ac:dyDescent="0.35">
      <c r="A1254" s="24" t="s">
        <v>6898</v>
      </c>
      <c r="B1254" s="24" t="s">
        <v>6899</v>
      </c>
      <c r="C1254" s="24" t="s">
        <v>6900</v>
      </c>
      <c r="E1254" s="31" t="s">
        <v>6901</v>
      </c>
      <c r="F1254" s="31" t="s">
        <v>6902</v>
      </c>
      <c r="G1254" s="31" t="s">
        <v>6903</v>
      </c>
      <c r="H1254" s="31" t="s">
        <v>6904</v>
      </c>
      <c r="I1254" s="31" t="s">
        <v>6905</v>
      </c>
      <c r="J1254" s="31"/>
      <c r="N1254" s="23" t="s">
        <v>1434</v>
      </c>
    </row>
    <row r="1255" spans="1:14" x14ac:dyDescent="0.35">
      <c r="A1255" s="24" t="s">
        <v>9588</v>
      </c>
      <c r="B1255" s="24" t="s">
        <v>6906</v>
      </c>
      <c r="C1255" s="24" t="s">
        <v>6907</v>
      </c>
      <c r="E1255" s="31" t="s">
        <v>6908</v>
      </c>
      <c r="F1255" s="31"/>
      <c r="G1255" s="31"/>
      <c r="H1255" s="31"/>
      <c r="I1255" s="31"/>
      <c r="J1255" s="31"/>
      <c r="N1255" s="23" t="s">
        <v>871</v>
      </c>
    </row>
    <row r="1256" spans="1:14" x14ac:dyDescent="0.35">
      <c r="A1256" s="24" t="s">
        <v>6909</v>
      </c>
      <c r="B1256" s="24" t="s">
        <v>6910</v>
      </c>
      <c r="C1256" s="24" t="s">
        <v>6911</v>
      </c>
      <c r="E1256" s="31" t="s">
        <v>6912</v>
      </c>
      <c r="F1256" s="31" t="s">
        <v>6913</v>
      </c>
      <c r="G1256" s="31"/>
      <c r="H1256" s="31"/>
      <c r="I1256" s="31"/>
      <c r="J1256" s="31"/>
      <c r="N1256" s="23" t="s">
        <v>2304</v>
      </c>
    </row>
    <row r="1257" spans="1:14" x14ac:dyDescent="0.35">
      <c r="A1257" s="24" t="s">
        <v>6914</v>
      </c>
      <c r="B1257" s="24" t="s">
        <v>6915</v>
      </c>
      <c r="C1257" s="24" t="s">
        <v>6916</v>
      </c>
      <c r="E1257" s="31" t="s">
        <v>6917</v>
      </c>
      <c r="F1257" s="31" t="s">
        <v>6918</v>
      </c>
      <c r="G1257" s="31" t="s">
        <v>6919</v>
      </c>
      <c r="H1257" s="31" t="s">
        <v>6920</v>
      </c>
      <c r="I1257" s="31" t="s">
        <v>6921</v>
      </c>
      <c r="J1257" s="31"/>
      <c r="N1257" s="23" t="s">
        <v>3413</v>
      </c>
    </row>
    <row r="1258" spans="1:14" x14ac:dyDescent="0.35">
      <c r="A1258" s="24" t="s">
        <v>6922</v>
      </c>
      <c r="B1258" s="24" t="s">
        <v>6923</v>
      </c>
      <c r="C1258" s="24" t="s">
        <v>6924</v>
      </c>
      <c r="E1258" s="31" t="s">
        <v>6925</v>
      </c>
      <c r="F1258" s="31" t="s">
        <v>6926</v>
      </c>
      <c r="G1258" s="31" t="s">
        <v>6927</v>
      </c>
      <c r="H1258" s="31" t="s">
        <v>6928</v>
      </c>
      <c r="I1258" s="31" t="s">
        <v>6929</v>
      </c>
      <c r="J1258" s="31"/>
      <c r="N1258" s="23" t="s">
        <v>3413</v>
      </c>
    </row>
    <row r="1259" spans="1:14" x14ac:dyDescent="0.35">
      <c r="A1259" s="24" t="s">
        <v>6930</v>
      </c>
      <c r="B1259" s="24" t="s">
        <v>6930</v>
      </c>
      <c r="C1259" s="24" t="s">
        <v>6931</v>
      </c>
      <c r="E1259" s="31" t="s">
        <v>6932</v>
      </c>
      <c r="F1259" s="31"/>
      <c r="G1259" s="31"/>
      <c r="H1259" s="31"/>
      <c r="I1259" s="31"/>
      <c r="J1259" s="31"/>
      <c r="N1259" s="23" t="s">
        <v>2304</v>
      </c>
    </row>
    <row r="1260" spans="1:14" x14ac:dyDescent="0.35">
      <c r="A1260" s="24" t="s">
        <v>6933</v>
      </c>
      <c r="B1260" s="24" t="s">
        <v>6934</v>
      </c>
      <c r="C1260" s="24" t="s">
        <v>6935</v>
      </c>
      <c r="E1260" s="31" t="s">
        <v>5966</v>
      </c>
      <c r="F1260" s="31" t="s">
        <v>5967</v>
      </c>
      <c r="G1260" s="31"/>
      <c r="H1260" s="31"/>
      <c r="I1260" s="31"/>
      <c r="J1260" s="31"/>
      <c r="N1260" s="23" t="s">
        <v>3413</v>
      </c>
    </row>
    <row r="1261" spans="1:14" x14ac:dyDescent="0.35">
      <c r="A1261" s="24" t="s">
        <v>6936</v>
      </c>
      <c r="B1261" s="24" t="s">
        <v>6936</v>
      </c>
      <c r="C1261" s="24" t="s">
        <v>6937</v>
      </c>
      <c r="E1261" s="31" t="s">
        <v>6938</v>
      </c>
      <c r="F1261" s="31"/>
      <c r="G1261" s="31"/>
      <c r="H1261" s="31"/>
      <c r="I1261" s="31"/>
      <c r="J1261" s="31"/>
      <c r="N1261" s="23" t="s">
        <v>2304</v>
      </c>
    </row>
    <row r="1262" spans="1:14" x14ac:dyDescent="0.35">
      <c r="A1262" s="24" t="s">
        <v>6939</v>
      </c>
      <c r="B1262" s="24" t="s">
        <v>6940</v>
      </c>
      <c r="C1262" s="24" t="s">
        <v>6941</v>
      </c>
      <c r="E1262" s="31" t="s">
        <v>6827</v>
      </c>
      <c r="F1262" s="31" t="s">
        <v>6828</v>
      </c>
      <c r="G1262" s="31" t="s">
        <v>6829</v>
      </c>
      <c r="H1262" s="31" t="s">
        <v>6830</v>
      </c>
      <c r="I1262" s="31" t="s">
        <v>6942</v>
      </c>
      <c r="J1262" s="31"/>
      <c r="N1262" s="23" t="s">
        <v>3413</v>
      </c>
    </row>
    <row r="1263" spans="1:14" x14ac:dyDescent="0.35">
      <c r="A1263" s="24" t="s">
        <v>6943</v>
      </c>
      <c r="B1263" s="24" t="s">
        <v>6944</v>
      </c>
      <c r="C1263" s="24" t="s">
        <v>6945</v>
      </c>
      <c r="E1263" s="31" t="s">
        <v>6946</v>
      </c>
      <c r="F1263" s="31" t="s">
        <v>6947</v>
      </c>
      <c r="G1263" s="31" t="s">
        <v>6948</v>
      </c>
      <c r="H1263" s="31" t="s">
        <v>6949</v>
      </c>
      <c r="I1263" s="31"/>
      <c r="J1263" s="31"/>
      <c r="N1263" s="23" t="s">
        <v>3413</v>
      </c>
    </row>
    <row r="1264" spans="1:14" x14ac:dyDescent="0.35">
      <c r="A1264" s="24" t="s">
        <v>6950</v>
      </c>
      <c r="B1264" s="24" t="s">
        <v>6951</v>
      </c>
      <c r="C1264" s="24" t="s">
        <v>6952</v>
      </c>
      <c r="E1264" s="31" t="s">
        <v>6953</v>
      </c>
      <c r="F1264" s="31" t="s">
        <v>6954</v>
      </c>
      <c r="G1264" s="31" t="s">
        <v>6955</v>
      </c>
      <c r="H1264" s="31" t="s">
        <v>6956</v>
      </c>
      <c r="I1264" s="31" t="s">
        <v>6957</v>
      </c>
      <c r="J1264" s="31"/>
      <c r="N1264" s="23" t="s">
        <v>3413</v>
      </c>
    </row>
    <row r="1265" spans="1:14" x14ac:dyDescent="0.35">
      <c r="A1265" s="24" t="s">
        <v>6958</v>
      </c>
      <c r="B1265" s="24" t="s">
        <v>6959</v>
      </c>
      <c r="C1265" s="24" t="s">
        <v>6960</v>
      </c>
      <c r="E1265" s="31" t="s">
        <v>6961</v>
      </c>
      <c r="F1265" s="31" t="s">
        <v>6962</v>
      </c>
      <c r="G1265" s="31" t="s">
        <v>6963</v>
      </c>
      <c r="H1265" s="31" t="s">
        <v>6964</v>
      </c>
      <c r="I1265" s="31" t="s">
        <v>6965</v>
      </c>
      <c r="J1265" s="31"/>
      <c r="N1265" s="23" t="s">
        <v>3413</v>
      </c>
    </row>
    <row r="1266" spans="1:14" x14ac:dyDescent="0.35">
      <c r="A1266" s="24" t="s">
        <v>6966</v>
      </c>
      <c r="B1266" s="24" t="s">
        <v>6967</v>
      </c>
      <c r="C1266" s="24" t="s">
        <v>6968</v>
      </c>
      <c r="E1266" s="31" t="s">
        <v>6969</v>
      </c>
      <c r="F1266" s="31"/>
      <c r="G1266" s="31"/>
      <c r="H1266" s="31"/>
      <c r="I1266" s="31"/>
      <c r="J1266" s="31"/>
      <c r="N1266" s="23" t="s">
        <v>2304</v>
      </c>
    </row>
    <row r="1267" spans="1:14" x14ac:dyDescent="0.35">
      <c r="A1267" s="24" t="s">
        <v>6970</v>
      </c>
      <c r="B1267" s="24" t="s">
        <v>6970</v>
      </c>
      <c r="C1267" s="24" t="s">
        <v>6971</v>
      </c>
      <c r="E1267" s="31" t="s">
        <v>6972</v>
      </c>
      <c r="F1267" s="31" t="s">
        <v>6973</v>
      </c>
      <c r="G1267" s="31" t="s">
        <v>6974</v>
      </c>
      <c r="H1267" s="31" t="s">
        <v>6975</v>
      </c>
      <c r="I1267" s="31" t="s">
        <v>6976</v>
      </c>
      <c r="J1267" s="31"/>
      <c r="N1267" s="23" t="s">
        <v>2304</v>
      </c>
    </row>
    <row r="1268" spans="1:14" x14ac:dyDescent="0.35">
      <c r="A1268" s="24" t="s">
        <v>6977</v>
      </c>
      <c r="B1268" s="24" t="s">
        <v>6978</v>
      </c>
      <c r="C1268" s="24" t="s">
        <v>6979</v>
      </c>
      <c r="E1268" s="31" t="s">
        <v>6980</v>
      </c>
      <c r="F1268" s="31"/>
      <c r="G1268" s="31"/>
      <c r="H1268" s="31"/>
      <c r="I1268" s="31"/>
      <c r="J1268" s="31"/>
      <c r="N1268" s="23" t="s">
        <v>3413</v>
      </c>
    </row>
    <row r="1269" spans="1:14" x14ac:dyDescent="0.35">
      <c r="A1269" s="24" t="s">
        <v>6981</v>
      </c>
      <c r="B1269" s="24" t="s">
        <v>6982</v>
      </c>
      <c r="C1269" s="24" t="s">
        <v>6983</v>
      </c>
      <c r="E1269" s="31" t="s">
        <v>6984</v>
      </c>
      <c r="F1269" s="31"/>
      <c r="G1269" s="31"/>
      <c r="H1269" s="31"/>
      <c r="I1269" s="31"/>
      <c r="J1269" s="31"/>
      <c r="N1269" s="23" t="s">
        <v>3413</v>
      </c>
    </row>
    <row r="1270" spans="1:14" x14ac:dyDescent="0.35">
      <c r="A1270" s="24" t="s">
        <v>6985</v>
      </c>
      <c r="B1270" s="24" t="s">
        <v>6986</v>
      </c>
      <c r="C1270" s="24" t="s">
        <v>6987</v>
      </c>
      <c r="E1270" s="31" t="s">
        <v>6988</v>
      </c>
      <c r="F1270" s="31" t="s">
        <v>6989</v>
      </c>
      <c r="G1270" s="31" t="s">
        <v>6990</v>
      </c>
      <c r="H1270" s="31" t="s">
        <v>6991</v>
      </c>
      <c r="I1270" s="31"/>
      <c r="J1270" s="31"/>
      <c r="N1270" s="23" t="s">
        <v>3413</v>
      </c>
    </row>
    <row r="1271" spans="1:14" x14ac:dyDescent="0.35">
      <c r="A1271" s="24" t="s">
        <v>9516</v>
      </c>
      <c r="B1271" s="24" t="s">
        <v>6992</v>
      </c>
      <c r="C1271" s="24" t="s">
        <v>6993</v>
      </c>
      <c r="E1271" s="31" t="s">
        <v>3811</v>
      </c>
      <c r="F1271" s="31" t="s">
        <v>3812</v>
      </c>
      <c r="G1271" s="31"/>
      <c r="H1271" s="31"/>
      <c r="I1271" s="31"/>
      <c r="J1271" s="31"/>
      <c r="N1271" s="23" t="s">
        <v>2304</v>
      </c>
    </row>
    <row r="1272" spans="1:14" x14ac:dyDescent="0.35">
      <c r="A1272" s="24" t="s">
        <v>6994</v>
      </c>
      <c r="B1272" s="24" t="s">
        <v>6995</v>
      </c>
      <c r="C1272" s="24" t="s">
        <v>6996</v>
      </c>
      <c r="E1272" s="31" t="s">
        <v>6997</v>
      </c>
      <c r="F1272" s="31" t="s">
        <v>6998</v>
      </c>
      <c r="G1272" s="31" t="s">
        <v>6999</v>
      </c>
      <c r="H1272" s="31" t="s">
        <v>7000</v>
      </c>
      <c r="I1272" s="31" t="s">
        <v>7001</v>
      </c>
      <c r="J1272" s="31" t="s">
        <v>7002</v>
      </c>
      <c r="K1272" s="23"/>
      <c r="L1272" s="23"/>
      <c r="N1272" s="23" t="s">
        <v>3413</v>
      </c>
    </row>
    <row r="1273" spans="1:14" x14ac:dyDescent="0.35">
      <c r="A1273" s="24" t="s">
        <v>7003</v>
      </c>
      <c r="B1273" s="24" t="s">
        <v>7004</v>
      </c>
      <c r="C1273" s="24" t="s">
        <v>7005</v>
      </c>
      <c r="E1273" s="31" t="s">
        <v>7006</v>
      </c>
      <c r="F1273" s="31" t="s">
        <v>7007</v>
      </c>
      <c r="G1273" s="31" t="s">
        <v>7008</v>
      </c>
      <c r="H1273" s="31" t="s">
        <v>7009</v>
      </c>
      <c r="I1273" s="31" t="s">
        <v>7010</v>
      </c>
      <c r="J1273" s="31"/>
      <c r="N1273" s="23" t="s">
        <v>3413</v>
      </c>
    </row>
    <row r="1274" spans="1:14" x14ac:dyDescent="0.35">
      <c r="A1274" s="24" t="s">
        <v>7011</v>
      </c>
      <c r="B1274" s="24" t="s">
        <v>7012</v>
      </c>
      <c r="C1274" s="24" t="s">
        <v>7013</v>
      </c>
      <c r="E1274" s="31"/>
      <c r="F1274" s="31"/>
      <c r="G1274" s="31"/>
      <c r="H1274" s="31"/>
      <c r="I1274" s="31"/>
      <c r="J1274" s="31"/>
      <c r="N1274" s="23" t="s">
        <v>2304</v>
      </c>
    </row>
    <row r="1275" spans="1:14" x14ac:dyDescent="0.35">
      <c r="A1275" s="24" t="s">
        <v>7014</v>
      </c>
      <c r="B1275" s="24" t="s">
        <v>7015</v>
      </c>
      <c r="C1275" s="24" t="s">
        <v>7016</v>
      </c>
      <c r="E1275" s="31" t="s">
        <v>7017</v>
      </c>
      <c r="F1275" s="31" t="s">
        <v>7018</v>
      </c>
      <c r="G1275" s="31" t="s">
        <v>7019</v>
      </c>
      <c r="H1275" s="31" t="s">
        <v>7020</v>
      </c>
      <c r="I1275" s="31" t="s">
        <v>7021</v>
      </c>
      <c r="J1275" s="31"/>
      <c r="N1275" s="23" t="s">
        <v>3413</v>
      </c>
    </row>
    <row r="1276" spans="1:14" x14ac:dyDescent="0.35">
      <c r="A1276" s="24" t="s">
        <v>7026</v>
      </c>
      <c r="B1276" s="24" t="s">
        <v>7027</v>
      </c>
      <c r="C1276" s="24" t="s">
        <v>7028</v>
      </c>
      <c r="E1276" s="31" t="s">
        <v>7029</v>
      </c>
      <c r="F1276" s="31"/>
      <c r="G1276" s="31"/>
      <c r="H1276" s="31"/>
      <c r="I1276" s="31"/>
      <c r="J1276" s="31"/>
      <c r="N1276" s="23" t="s">
        <v>3413</v>
      </c>
    </row>
    <row r="1277" spans="1:14" x14ac:dyDescent="0.35">
      <c r="A1277" s="24" t="s">
        <v>7030</v>
      </c>
      <c r="B1277" s="24" t="s">
        <v>7031</v>
      </c>
      <c r="C1277" s="24" t="s">
        <v>7032</v>
      </c>
      <c r="E1277" s="31" t="s">
        <v>4780</v>
      </c>
      <c r="F1277" s="31" t="s">
        <v>4781</v>
      </c>
      <c r="G1277" s="31" t="s">
        <v>4782</v>
      </c>
      <c r="H1277" s="31" t="s">
        <v>4783</v>
      </c>
      <c r="I1277" s="31"/>
      <c r="J1277" s="31"/>
      <c r="N1277" s="23" t="s">
        <v>3413</v>
      </c>
    </row>
    <row r="1278" spans="1:14" x14ac:dyDescent="0.35">
      <c r="A1278" s="24" t="s">
        <v>7033</v>
      </c>
      <c r="B1278" s="24" t="s">
        <v>7033</v>
      </c>
      <c r="C1278" s="24" t="s">
        <v>7034</v>
      </c>
      <c r="E1278" s="31" t="s">
        <v>3534</v>
      </c>
      <c r="F1278" s="31" t="s">
        <v>3535</v>
      </c>
      <c r="G1278" s="31"/>
      <c r="H1278" s="31"/>
      <c r="I1278" s="31"/>
      <c r="J1278" s="31"/>
      <c r="N1278" s="23" t="s">
        <v>871</v>
      </c>
    </row>
    <row r="1279" spans="1:14" x14ac:dyDescent="0.35">
      <c r="A1279" s="24" t="s">
        <v>7035</v>
      </c>
      <c r="B1279" s="24" t="s">
        <v>7036</v>
      </c>
      <c r="C1279" s="24" t="s">
        <v>7037</v>
      </c>
      <c r="E1279" s="31" t="s">
        <v>7038</v>
      </c>
      <c r="F1279" s="31"/>
      <c r="G1279" s="31"/>
      <c r="H1279" s="31"/>
      <c r="I1279" s="31"/>
      <c r="J1279" s="31"/>
      <c r="N1279" s="23" t="s">
        <v>458</v>
      </c>
    </row>
    <row r="1280" spans="1:14" x14ac:dyDescent="0.35">
      <c r="A1280" s="24" t="s">
        <v>7039</v>
      </c>
      <c r="B1280" s="24" t="s">
        <v>7039</v>
      </c>
      <c r="C1280" s="24" t="s">
        <v>7040</v>
      </c>
      <c r="E1280" s="31" t="s">
        <v>7041</v>
      </c>
      <c r="F1280" s="31"/>
      <c r="G1280" s="31"/>
      <c r="H1280" s="31"/>
      <c r="I1280" s="31"/>
      <c r="J1280" s="31"/>
      <c r="N1280" s="23" t="s">
        <v>2304</v>
      </c>
    </row>
    <row r="1281" spans="1:14" x14ac:dyDescent="0.35">
      <c r="A1281" s="24" t="s">
        <v>7042</v>
      </c>
      <c r="B1281" s="24" t="s">
        <v>7043</v>
      </c>
      <c r="C1281" s="24" t="s">
        <v>7044</v>
      </c>
      <c r="E1281" s="31" t="s">
        <v>7045</v>
      </c>
      <c r="F1281" s="31"/>
      <c r="G1281" s="31"/>
      <c r="H1281" s="31"/>
      <c r="I1281" s="31"/>
      <c r="J1281" s="31"/>
      <c r="N1281" s="23" t="s">
        <v>3413</v>
      </c>
    </row>
    <row r="1282" spans="1:14" x14ac:dyDescent="0.35">
      <c r="A1282" s="24" t="s">
        <v>7046</v>
      </c>
      <c r="B1282" s="24" t="s">
        <v>7047</v>
      </c>
      <c r="C1282" s="24" t="s">
        <v>7048</v>
      </c>
      <c r="E1282" s="31" t="s">
        <v>7049</v>
      </c>
      <c r="F1282" s="31" t="s">
        <v>7050</v>
      </c>
      <c r="G1282" s="31" t="s">
        <v>7051</v>
      </c>
      <c r="H1282" s="31" t="s">
        <v>7052</v>
      </c>
      <c r="I1282" s="31" t="s">
        <v>7053</v>
      </c>
      <c r="J1282" s="31"/>
      <c r="N1282" s="23" t="s">
        <v>3413</v>
      </c>
    </row>
    <row r="1283" spans="1:14" x14ac:dyDescent="0.35">
      <c r="A1283" s="24" t="s">
        <v>9710</v>
      </c>
      <c r="B1283" s="24" t="s">
        <v>7054</v>
      </c>
      <c r="C1283" s="24" t="s">
        <v>7055</v>
      </c>
      <c r="E1283" s="31"/>
      <c r="F1283" s="31"/>
      <c r="G1283" s="31"/>
      <c r="H1283" s="31"/>
      <c r="I1283" s="31"/>
      <c r="J1283" s="31"/>
      <c r="N1283" s="23" t="s">
        <v>871</v>
      </c>
    </row>
    <row r="1284" spans="1:14" x14ac:dyDescent="0.35">
      <c r="A1284" s="24" t="s">
        <v>7056</v>
      </c>
      <c r="B1284" s="24" t="s">
        <v>7057</v>
      </c>
      <c r="C1284" s="24" t="s">
        <v>7058</v>
      </c>
      <c r="E1284" s="31" t="s">
        <v>7059</v>
      </c>
      <c r="F1284" s="31" t="s">
        <v>7060</v>
      </c>
      <c r="G1284" s="31" t="s">
        <v>7061</v>
      </c>
      <c r="H1284" s="31" t="s">
        <v>7062</v>
      </c>
      <c r="I1284" s="31" t="s">
        <v>7063</v>
      </c>
      <c r="J1284" s="31"/>
      <c r="N1284" s="23" t="s">
        <v>3413</v>
      </c>
    </row>
    <row r="1285" spans="1:14" x14ac:dyDescent="0.35">
      <c r="A1285" s="24" t="s">
        <v>7064</v>
      </c>
      <c r="B1285" s="24" t="s">
        <v>7065</v>
      </c>
      <c r="C1285" s="24" t="s">
        <v>7066</v>
      </c>
      <c r="E1285" s="31" t="s">
        <v>7067</v>
      </c>
      <c r="F1285" s="31" t="s">
        <v>7068</v>
      </c>
      <c r="G1285" s="31" t="s">
        <v>7069</v>
      </c>
      <c r="H1285" s="31" t="s">
        <v>7070</v>
      </c>
      <c r="I1285" s="31" t="s">
        <v>7071</v>
      </c>
      <c r="J1285" s="31"/>
      <c r="N1285" s="23" t="s">
        <v>3413</v>
      </c>
    </row>
    <row r="1286" spans="1:14" x14ac:dyDescent="0.35">
      <c r="A1286" s="24" t="s">
        <v>7072</v>
      </c>
      <c r="B1286" s="24" t="s">
        <v>7072</v>
      </c>
      <c r="C1286" s="24" t="s">
        <v>7073</v>
      </c>
      <c r="E1286" s="31" t="s">
        <v>7074</v>
      </c>
      <c r="F1286" s="31"/>
      <c r="G1286" s="31"/>
      <c r="H1286" s="31"/>
      <c r="I1286" s="31"/>
      <c r="J1286" s="31"/>
      <c r="N1286" s="23" t="s">
        <v>2304</v>
      </c>
    </row>
    <row r="1287" spans="1:14" x14ac:dyDescent="0.35">
      <c r="A1287" s="24" t="s">
        <v>7075</v>
      </c>
      <c r="B1287" s="24" t="s">
        <v>7075</v>
      </c>
      <c r="C1287" s="24" t="s">
        <v>7076</v>
      </c>
      <c r="E1287" s="31"/>
      <c r="F1287" s="31"/>
      <c r="G1287" s="31"/>
      <c r="H1287" s="31"/>
      <c r="I1287" s="31"/>
      <c r="J1287" s="31"/>
      <c r="N1287" s="23" t="s">
        <v>871</v>
      </c>
    </row>
    <row r="1288" spans="1:14" x14ac:dyDescent="0.35">
      <c r="A1288" s="24" t="s">
        <v>7077</v>
      </c>
      <c r="B1288" s="24" t="s">
        <v>7078</v>
      </c>
      <c r="C1288" s="24" t="s">
        <v>7079</v>
      </c>
      <c r="E1288" s="31" t="s">
        <v>7080</v>
      </c>
      <c r="F1288" s="31" t="s">
        <v>7081</v>
      </c>
      <c r="G1288" s="31" t="s">
        <v>7082</v>
      </c>
      <c r="H1288" s="31" t="s">
        <v>7083</v>
      </c>
      <c r="I1288" s="31" t="s">
        <v>7084</v>
      </c>
      <c r="J1288" s="31"/>
      <c r="N1288" s="23" t="s">
        <v>3413</v>
      </c>
    </row>
    <row r="1289" spans="1:14" x14ac:dyDescent="0.35">
      <c r="A1289" s="24" t="s">
        <v>7085</v>
      </c>
      <c r="B1289" s="24" t="s">
        <v>7086</v>
      </c>
      <c r="C1289" s="24" t="s">
        <v>7087</v>
      </c>
      <c r="E1289" s="31" t="s">
        <v>7088</v>
      </c>
      <c r="F1289" s="31" t="s">
        <v>7089</v>
      </c>
      <c r="G1289" s="31"/>
      <c r="H1289" s="31"/>
      <c r="I1289" s="31"/>
      <c r="J1289" s="31"/>
      <c r="N1289" s="23" t="s">
        <v>3413</v>
      </c>
    </row>
    <row r="1290" spans="1:14" x14ac:dyDescent="0.35">
      <c r="A1290" s="24" t="s">
        <v>7090</v>
      </c>
      <c r="B1290" s="24" t="s">
        <v>7091</v>
      </c>
      <c r="C1290" s="24" t="s">
        <v>7092</v>
      </c>
      <c r="E1290" s="31"/>
      <c r="F1290" s="31"/>
      <c r="G1290" s="31"/>
      <c r="H1290" s="31"/>
      <c r="I1290" s="31"/>
      <c r="J1290" s="31"/>
      <c r="N1290" s="23" t="s">
        <v>2304</v>
      </c>
    </row>
    <row r="1291" spans="1:14" x14ac:dyDescent="0.35">
      <c r="A1291" s="24" t="s">
        <v>7093</v>
      </c>
      <c r="B1291" s="24" t="s">
        <v>7094</v>
      </c>
      <c r="C1291" s="24" t="s">
        <v>7095</v>
      </c>
      <c r="E1291" s="31"/>
      <c r="F1291" s="31"/>
      <c r="G1291" s="31"/>
      <c r="H1291" s="31"/>
      <c r="I1291" s="31"/>
      <c r="J1291" s="31"/>
      <c r="N1291" s="23" t="s">
        <v>2304</v>
      </c>
    </row>
    <row r="1292" spans="1:14" x14ac:dyDescent="0.35">
      <c r="A1292" s="24" t="s">
        <v>7096</v>
      </c>
      <c r="B1292" s="24" t="s">
        <v>7097</v>
      </c>
      <c r="C1292" s="24" t="s">
        <v>7098</v>
      </c>
      <c r="E1292" s="31" t="s">
        <v>7099</v>
      </c>
      <c r="F1292" s="31"/>
      <c r="G1292" s="31"/>
      <c r="H1292" s="31"/>
      <c r="I1292" s="31"/>
      <c r="J1292" s="31"/>
      <c r="N1292" s="23" t="s">
        <v>2304</v>
      </c>
    </row>
    <row r="1293" spans="1:14" x14ac:dyDescent="0.35">
      <c r="A1293" s="24" t="s">
        <v>7100</v>
      </c>
      <c r="B1293" s="24" t="s">
        <v>7101</v>
      </c>
      <c r="C1293" s="24" t="s">
        <v>7102</v>
      </c>
      <c r="E1293" s="31" t="s">
        <v>7103</v>
      </c>
      <c r="F1293" s="31" t="s">
        <v>7104</v>
      </c>
      <c r="G1293" s="31" t="s">
        <v>7105</v>
      </c>
      <c r="H1293" s="31" t="s">
        <v>7106</v>
      </c>
      <c r="I1293" s="31"/>
      <c r="J1293" s="31"/>
      <c r="N1293" s="23" t="s">
        <v>3413</v>
      </c>
    </row>
    <row r="1294" spans="1:14" x14ac:dyDescent="0.35">
      <c r="A1294" s="24" t="s">
        <v>7107</v>
      </c>
      <c r="B1294" s="24" t="s">
        <v>7108</v>
      </c>
      <c r="C1294" s="24" t="s">
        <v>7109</v>
      </c>
      <c r="E1294" s="31" t="s">
        <v>7110</v>
      </c>
      <c r="F1294" s="31" t="s">
        <v>7111</v>
      </c>
      <c r="G1294" s="31" t="s">
        <v>7112</v>
      </c>
      <c r="H1294" s="31" t="s">
        <v>7113</v>
      </c>
      <c r="I1294" s="31"/>
      <c r="J1294" s="31"/>
      <c r="N1294" s="23" t="s">
        <v>3413</v>
      </c>
    </row>
    <row r="1295" spans="1:14" x14ac:dyDescent="0.35">
      <c r="A1295" s="24" t="s">
        <v>7114</v>
      </c>
      <c r="B1295" s="24" t="s">
        <v>7115</v>
      </c>
      <c r="C1295" s="24" t="s">
        <v>7116</v>
      </c>
      <c r="E1295" s="31" t="s">
        <v>2543</v>
      </c>
      <c r="F1295" s="31"/>
      <c r="G1295" s="31"/>
      <c r="H1295" s="31"/>
      <c r="I1295" s="31"/>
      <c r="J1295" s="31"/>
      <c r="N1295" s="23" t="s">
        <v>871</v>
      </c>
    </row>
    <row r="1296" spans="1:14" x14ac:dyDescent="0.35">
      <c r="A1296" s="24" t="s">
        <v>7117</v>
      </c>
      <c r="B1296" s="24" t="s">
        <v>7117</v>
      </c>
      <c r="C1296" s="24" t="s">
        <v>7118</v>
      </c>
      <c r="E1296" s="31"/>
      <c r="F1296" s="31"/>
      <c r="G1296" s="31"/>
      <c r="H1296" s="31"/>
      <c r="I1296" s="31"/>
      <c r="J1296" s="31"/>
      <c r="N1296" s="23" t="s">
        <v>871</v>
      </c>
    </row>
    <row r="1297" spans="1:14" x14ac:dyDescent="0.35">
      <c r="A1297" s="24" t="s">
        <v>7119</v>
      </c>
      <c r="B1297" s="24" t="s">
        <v>7120</v>
      </c>
      <c r="C1297" s="24" t="s">
        <v>7121</v>
      </c>
      <c r="E1297" s="31" t="s">
        <v>7122</v>
      </c>
      <c r="F1297" s="31"/>
      <c r="G1297" s="31"/>
      <c r="H1297" s="31"/>
      <c r="I1297" s="31"/>
      <c r="J1297" s="31"/>
      <c r="N1297" s="23" t="s">
        <v>2304</v>
      </c>
    </row>
    <row r="1298" spans="1:14" x14ac:dyDescent="0.35">
      <c r="A1298" s="24" t="s">
        <v>7123</v>
      </c>
      <c r="B1298" s="24" t="s">
        <v>7124</v>
      </c>
      <c r="C1298" s="24" t="s">
        <v>7125</v>
      </c>
      <c r="E1298" s="31" t="s">
        <v>7126</v>
      </c>
      <c r="F1298" s="31"/>
      <c r="G1298" s="31"/>
      <c r="H1298" s="31"/>
      <c r="I1298" s="31"/>
      <c r="J1298" s="31"/>
      <c r="N1298" s="23" t="s">
        <v>3413</v>
      </c>
    </row>
    <row r="1299" spans="1:14" x14ac:dyDescent="0.35">
      <c r="A1299" s="24" t="s">
        <v>7127</v>
      </c>
      <c r="B1299" s="24" t="s">
        <v>7128</v>
      </c>
      <c r="C1299" s="24" t="s">
        <v>7129</v>
      </c>
      <c r="E1299" s="31" t="s">
        <v>7130</v>
      </c>
      <c r="F1299" s="31"/>
      <c r="G1299" s="31"/>
      <c r="H1299" s="31"/>
      <c r="I1299" s="31"/>
      <c r="J1299" s="31"/>
      <c r="N1299" s="23" t="s">
        <v>2304</v>
      </c>
    </row>
    <row r="1300" spans="1:14" x14ac:dyDescent="0.35">
      <c r="A1300" s="24" t="s">
        <v>7131</v>
      </c>
      <c r="B1300" s="24" t="s">
        <v>7132</v>
      </c>
      <c r="C1300" s="24" t="s">
        <v>7133</v>
      </c>
      <c r="E1300" s="31" t="s">
        <v>7134</v>
      </c>
      <c r="F1300" s="31"/>
      <c r="G1300" s="31"/>
      <c r="H1300" s="31"/>
      <c r="I1300" s="31"/>
      <c r="J1300" s="31"/>
      <c r="N1300" s="23" t="s">
        <v>3413</v>
      </c>
    </row>
    <row r="1301" spans="1:14" x14ac:dyDescent="0.35">
      <c r="A1301" s="24" t="s">
        <v>7135</v>
      </c>
      <c r="B1301" s="24" t="s">
        <v>7136</v>
      </c>
      <c r="C1301" s="24" t="s">
        <v>7137</v>
      </c>
      <c r="E1301" s="31" t="s">
        <v>7138</v>
      </c>
      <c r="F1301" s="31"/>
      <c r="G1301" s="31"/>
      <c r="H1301" s="31"/>
      <c r="I1301" s="31"/>
      <c r="J1301" s="31"/>
      <c r="N1301" s="23" t="s">
        <v>3413</v>
      </c>
    </row>
    <row r="1302" spans="1:14" ht="16.2" x14ac:dyDescent="0.35">
      <c r="A1302" s="24" t="s">
        <v>7139</v>
      </c>
      <c r="B1302" s="24" t="s">
        <v>7140</v>
      </c>
      <c r="C1302" s="24" t="s">
        <v>7141</v>
      </c>
      <c r="E1302" s="31" t="s">
        <v>7142</v>
      </c>
      <c r="F1302" s="31" t="s">
        <v>7143</v>
      </c>
      <c r="G1302" s="31" t="s">
        <v>7144</v>
      </c>
      <c r="H1302" s="31" t="s">
        <v>7145</v>
      </c>
      <c r="I1302" s="7" t="s">
        <v>9699</v>
      </c>
      <c r="J1302" s="7" t="s">
        <v>9700</v>
      </c>
      <c r="N1302" s="23" t="s">
        <v>3413</v>
      </c>
    </row>
    <row r="1303" spans="1:14" x14ac:dyDescent="0.35">
      <c r="A1303" s="24" t="s">
        <v>7146</v>
      </c>
      <c r="B1303" s="24" t="s">
        <v>7147</v>
      </c>
      <c r="C1303" s="24" t="s">
        <v>7148</v>
      </c>
      <c r="E1303" s="31" t="s">
        <v>7149</v>
      </c>
      <c r="F1303" s="31" t="s">
        <v>7150</v>
      </c>
      <c r="G1303" s="31" t="s">
        <v>7151</v>
      </c>
      <c r="H1303" s="31" t="s">
        <v>7152</v>
      </c>
      <c r="I1303" s="31"/>
      <c r="J1303" s="31"/>
      <c r="N1303" s="23" t="s">
        <v>3413</v>
      </c>
    </row>
    <row r="1304" spans="1:14" x14ac:dyDescent="0.35">
      <c r="A1304" s="24" t="s">
        <v>7153</v>
      </c>
      <c r="B1304" s="24" t="s">
        <v>7154</v>
      </c>
      <c r="C1304" s="24" t="s">
        <v>7155</v>
      </c>
      <c r="E1304" s="31" t="s">
        <v>7156</v>
      </c>
      <c r="F1304" s="31"/>
      <c r="G1304" s="31"/>
      <c r="H1304" s="31"/>
      <c r="I1304" s="31"/>
      <c r="J1304" s="31"/>
      <c r="N1304" s="23" t="s">
        <v>3413</v>
      </c>
    </row>
    <row r="1305" spans="1:14" x14ac:dyDescent="0.35">
      <c r="A1305" s="24" t="s">
        <v>7157</v>
      </c>
      <c r="B1305" s="24" t="s">
        <v>7158</v>
      </c>
      <c r="C1305" s="24" t="s">
        <v>7159</v>
      </c>
      <c r="E1305" s="31"/>
      <c r="F1305" s="31"/>
      <c r="G1305" s="31"/>
      <c r="H1305" s="31"/>
      <c r="I1305" s="31"/>
      <c r="J1305" s="31"/>
      <c r="N1305" s="23" t="s">
        <v>2304</v>
      </c>
    </row>
    <row r="1306" spans="1:14" x14ac:dyDescent="0.35">
      <c r="A1306" s="24" t="s">
        <v>7160</v>
      </c>
      <c r="B1306" s="24" t="s">
        <v>7161</v>
      </c>
      <c r="C1306" s="24" t="s">
        <v>7162</v>
      </c>
      <c r="E1306" s="31" t="s">
        <v>7163</v>
      </c>
      <c r="F1306" s="31"/>
      <c r="G1306" s="31"/>
      <c r="H1306" s="31"/>
      <c r="I1306" s="31"/>
      <c r="J1306" s="31"/>
      <c r="N1306" s="23" t="s">
        <v>3413</v>
      </c>
    </row>
    <row r="1307" spans="1:14" x14ac:dyDescent="0.35">
      <c r="A1307" s="24" t="s">
        <v>7164</v>
      </c>
      <c r="B1307" s="24" t="s">
        <v>7165</v>
      </c>
      <c r="C1307" s="24" t="s">
        <v>7166</v>
      </c>
      <c r="E1307" s="31" t="s">
        <v>7167</v>
      </c>
      <c r="F1307" s="31" t="s">
        <v>7168</v>
      </c>
      <c r="G1307" s="31" t="s">
        <v>7169</v>
      </c>
      <c r="H1307" s="31"/>
      <c r="I1307" s="31"/>
      <c r="J1307" s="31"/>
      <c r="N1307" s="23" t="s">
        <v>3413</v>
      </c>
    </row>
    <row r="1308" spans="1:14" x14ac:dyDescent="0.35">
      <c r="A1308" s="24" t="s">
        <v>7170</v>
      </c>
      <c r="B1308" s="24" t="s">
        <v>7171</v>
      </c>
      <c r="C1308" s="24" t="s">
        <v>7172</v>
      </c>
      <c r="E1308" s="31" t="s">
        <v>7173</v>
      </c>
      <c r="F1308" s="31" t="s">
        <v>7174</v>
      </c>
      <c r="G1308" s="31" t="s">
        <v>7175</v>
      </c>
      <c r="H1308" s="31" t="s">
        <v>7176</v>
      </c>
      <c r="I1308" s="31" t="s">
        <v>7177</v>
      </c>
      <c r="J1308" s="31"/>
      <c r="N1308" s="23" t="s">
        <v>3413</v>
      </c>
    </row>
    <row r="1309" spans="1:14" x14ac:dyDescent="0.35">
      <c r="A1309" s="24" t="s">
        <v>7178</v>
      </c>
      <c r="B1309" s="24" t="s">
        <v>7179</v>
      </c>
      <c r="C1309" s="24" t="s">
        <v>7180</v>
      </c>
      <c r="E1309" s="31" t="s">
        <v>7181</v>
      </c>
      <c r="F1309" s="31"/>
      <c r="G1309" s="31"/>
      <c r="H1309" s="31"/>
      <c r="I1309" s="31"/>
      <c r="J1309" s="31"/>
      <c r="N1309" s="23" t="s">
        <v>458</v>
      </c>
    </row>
    <row r="1310" spans="1:14" x14ac:dyDescent="0.35">
      <c r="A1310" s="24" t="s">
        <v>7182</v>
      </c>
      <c r="B1310" s="24" t="s">
        <v>7183</v>
      </c>
      <c r="C1310" s="24" t="s">
        <v>7184</v>
      </c>
      <c r="E1310" s="31"/>
      <c r="F1310" s="31"/>
      <c r="G1310" s="31"/>
      <c r="H1310" s="31"/>
      <c r="I1310" s="31"/>
      <c r="J1310" s="31"/>
      <c r="N1310" s="23" t="s">
        <v>2304</v>
      </c>
    </row>
    <row r="1311" spans="1:14" x14ac:dyDescent="0.35">
      <c r="A1311" s="24" t="s">
        <v>7185</v>
      </c>
      <c r="B1311" s="24" t="s">
        <v>7186</v>
      </c>
      <c r="C1311" s="24" t="s">
        <v>7187</v>
      </c>
      <c r="E1311" s="31" t="s">
        <v>7188</v>
      </c>
      <c r="F1311" s="31" t="s">
        <v>7189</v>
      </c>
      <c r="G1311" s="31"/>
      <c r="H1311" s="31"/>
      <c r="I1311" s="31"/>
      <c r="J1311" s="31"/>
      <c r="N1311" s="23" t="s">
        <v>3413</v>
      </c>
    </row>
    <row r="1312" spans="1:14" x14ac:dyDescent="0.35">
      <c r="A1312" s="24" t="s">
        <v>7190</v>
      </c>
      <c r="B1312" s="24" t="s">
        <v>7191</v>
      </c>
      <c r="C1312" s="24" t="s">
        <v>7192</v>
      </c>
      <c r="E1312" s="31" t="s">
        <v>7193</v>
      </c>
      <c r="F1312" s="31" t="s">
        <v>7194</v>
      </c>
      <c r="G1312" s="31" t="s">
        <v>7195</v>
      </c>
      <c r="H1312" s="31" t="s">
        <v>7196</v>
      </c>
      <c r="I1312" s="31" t="s">
        <v>7197</v>
      </c>
      <c r="J1312" s="31"/>
      <c r="N1312" s="23" t="s">
        <v>3413</v>
      </c>
    </row>
    <row r="1313" spans="1:14" x14ac:dyDescent="0.35">
      <c r="A1313" s="24" t="s">
        <v>7198</v>
      </c>
      <c r="B1313" s="24" t="s">
        <v>7199</v>
      </c>
      <c r="C1313" s="24" t="s">
        <v>7200</v>
      </c>
      <c r="E1313" s="31" t="s">
        <v>7201</v>
      </c>
      <c r="F1313" s="31" t="s">
        <v>7202</v>
      </c>
      <c r="G1313" s="31" t="s">
        <v>7203</v>
      </c>
      <c r="H1313" s="31" t="s">
        <v>7204</v>
      </c>
      <c r="I1313" s="31" t="s">
        <v>7205</v>
      </c>
      <c r="J1313" s="31"/>
      <c r="N1313" s="23" t="s">
        <v>3413</v>
      </c>
    </row>
    <row r="1314" spans="1:14" x14ac:dyDescent="0.35">
      <c r="A1314" s="24" t="s">
        <v>7206</v>
      </c>
      <c r="B1314" s="24" t="s">
        <v>7207</v>
      </c>
      <c r="C1314" s="24" t="s">
        <v>7208</v>
      </c>
      <c r="E1314" s="31" t="s">
        <v>7209</v>
      </c>
      <c r="F1314" s="31" t="s">
        <v>7210</v>
      </c>
      <c r="G1314" s="31" t="s">
        <v>7211</v>
      </c>
      <c r="H1314" s="31"/>
      <c r="I1314" s="31"/>
      <c r="J1314" s="31"/>
      <c r="N1314" s="23" t="s">
        <v>3413</v>
      </c>
    </row>
    <row r="1315" spans="1:14" x14ac:dyDescent="0.35">
      <c r="A1315" s="24" t="s">
        <v>7212</v>
      </c>
      <c r="B1315" s="24" t="s">
        <v>7213</v>
      </c>
      <c r="C1315" s="24" t="s">
        <v>7214</v>
      </c>
      <c r="E1315" s="31" t="s">
        <v>7215</v>
      </c>
      <c r="F1315" s="31" t="s">
        <v>7216</v>
      </c>
      <c r="G1315" s="31" t="s">
        <v>7217</v>
      </c>
      <c r="H1315" s="31"/>
      <c r="I1315" s="31"/>
      <c r="J1315" s="31"/>
      <c r="N1315" s="23" t="s">
        <v>3413</v>
      </c>
    </row>
    <row r="1316" spans="1:14" x14ac:dyDescent="0.35">
      <c r="A1316" s="24" t="s">
        <v>7218</v>
      </c>
      <c r="B1316" s="24" t="s">
        <v>7219</v>
      </c>
      <c r="C1316" s="24" t="s">
        <v>7220</v>
      </c>
      <c r="E1316" s="31"/>
      <c r="F1316" s="31"/>
      <c r="G1316" s="31"/>
      <c r="H1316" s="31"/>
      <c r="I1316" s="31"/>
      <c r="J1316" s="31"/>
      <c r="N1316" s="23" t="s">
        <v>2304</v>
      </c>
    </row>
    <row r="1317" spans="1:14" x14ac:dyDescent="0.35">
      <c r="A1317" s="24" t="s">
        <v>7221</v>
      </c>
      <c r="B1317" s="24" t="s">
        <v>7222</v>
      </c>
      <c r="C1317" s="24" t="s">
        <v>7223</v>
      </c>
      <c r="E1317" s="31" t="s">
        <v>7224</v>
      </c>
      <c r="F1317" s="31" t="s">
        <v>7225</v>
      </c>
      <c r="G1317" s="31" t="s">
        <v>7226</v>
      </c>
      <c r="H1317" s="31"/>
      <c r="I1317" s="31"/>
      <c r="J1317" s="31"/>
      <c r="N1317" s="23" t="s">
        <v>3413</v>
      </c>
    </row>
    <row r="1318" spans="1:14" x14ac:dyDescent="0.35">
      <c r="A1318" s="24" t="s">
        <v>7227</v>
      </c>
      <c r="B1318" s="24" t="s">
        <v>7228</v>
      </c>
      <c r="C1318" s="24" t="s">
        <v>7229</v>
      </c>
      <c r="E1318" s="31" t="s">
        <v>7230</v>
      </c>
      <c r="F1318" s="31"/>
      <c r="G1318" s="31"/>
      <c r="H1318" s="31"/>
      <c r="I1318" s="31"/>
      <c r="J1318" s="31"/>
      <c r="N1318" s="23" t="s">
        <v>3413</v>
      </c>
    </row>
    <row r="1319" spans="1:14" x14ac:dyDescent="0.35">
      <c r="A1319" s="24" t="s">
        <v>7231</v>
      </c>
      <c r="B1319" s="24" t="s">
        <v>7232</v>
      </c>
      <c r="C1319" s="24" t="s">
        <v>7233</v>
      </c>
      <c r="E1319" s="31" t="s">
        <v>7234</v>
      </c>
      <c r="F1319" s="31" t="s">
        <v>7235</v>
      </c>
      <c r="G1319" s="31" t="s">
        <v>7236</v>
      </c>
      <c r="H1319" s="31" t="s">
        <v>7237</v>
      </c>
      <c r="I1319" s="31" t="s">
        <v>7238</v>
      </c>
      <c r="J1319" s="31"/>
      <c r="N1319" s="23" t="s">
        <v>3413</v>
      </c>
    </row>
    <row r="1320" spans="1:14" x14ac:dyDescent="0.35">
      <c r="A1320" s="24" t="s">
        <v>7239</v>
      </c>
      <c r="B1320" s="24" t="s">
        <v>7240</v>
      </c>
      <c r="C1320" s="24" t="s">
        <v>7241</v>
      </c>
      <c r="E1320" s="31" t="s">
        <v>7242</v>
      </c>
      <c r="F1320" s="31" t="s">
        <v>7243</v>
      </c>
      <c r="G1320" s="31" t="s">
        <v>7244</v>
      </c>
      <c r="H1320" s="31" t="s">
        <v>7245</v>
      </c>
      <c r="I1320" s="31"/>
      <c r="J1320" s="31"/>
      <c r="N1320" s="23" t="s">
        <v>2304</v>
      </c>
    </row>
    <row r="1321" spans="1:14" x14ac:dyDescent="0.35">
      <c r="A1321" s="24" t="s">
        <v>7246</v>
      </c>
      <c r="B1321" s="24" t="s">
        <v>7247</v>
      </c>
      <c r="C1321" s="24" t="s">
        <v>9459</v>
      </c>
      <c r="E1321" s="31"/>
      <c r="F1321" s="31"/>
      <c r="G1321" s="31"/>
      <c r="H1321" s="31"/>
      <c r="I1321" s="31"/>
      <c r="J1321" s="31"/>
      <c r="N1321" s="23" t="s">
        <v>2304</v>
      </c>
    </row>
    <row r="1322" spans="1:14" x14ac:dyDescent="0.35">
      <c r="A1322" s="24" t="s">
        <v>7248</v>
      </c>
      <c r="B1322" s="24" t="s">
        <v>7249</v>
      </c>
      <c r="C1322" s="24" t="s">
        <v>7250</v>
      </c>
      <c r="E1322" s="31" t="s">
        <v>7251</v>
      </c>
      <c r="F1322" s="31" t="s">
        <v>7252</v>
      </c>
      <c r="G1322" s="31"/>
      <c r="H1322" s="31"/>
      <c r="I1322" s="31"/>
      <c r="J1322" s="31"/>
      <c r="N1322" s="23" t="s">
        <v>2304</v>
      </c>
    </row>
    <row r="1323" spans="1:14" x14ac:dyDescent="0.35">
      <c r="A1323" s="24" t="s">
        <v>7253</v>
      </c>
      <c r="B1323" s="24" t="s">
        <v>7254</v>
      </c>
      <c r="C1323" s="24" t="s">
        <v>7255</v>
      </c>
      <c r="E1323" s="31" t="s">
        <v>7256</v>
      </c>
      <c r="F1323" s="31" t="s">
        <v>7257</v>
      </c>
      <c r="G1323" s="31" t="s">
        <v>7258</v>
      </c>
      <c r="H1323" s="31" t="s">
        <v>7259</v>
      </c>
      <c r="I1323" s="31" t="s">
        <v>7260</v>
      </c>
      <c r="J1323" s="31"/>
      <c r="N1323" s="23" t="s">
        <v>3413</v>
      </c>
    </row>
    <row r="1324" spans="1:14" x14ac:dyDescent="0.35">
      <c r="A1324" s="24" t="s">
        <v>7261</v>
      </c>
      <c r="B1324" s="24" t="s">
        <v>7262</v>
      </c>
      <c r="C1324" s="24" t="s">
        <v>7263</v>
      </c>
      <c r="E1324" s="31" t="s">
        <v>7264</v>
      </c>
      <c r="F1324" s="31" t="s">
        <v>7265</v>
      </c>
      <c r="G1324" s="31" t="s">
        <v>7266</v>
      </c>
      <c r="H1324" s="31" t="s">
        <v>7267</v>
      </c>
      <c r="N1324" s="23" t="s">
        <v>3413</v>
      </c>
    </row>
    <row r="1325" spans="1:14" x14ac:dyDescent="0.35">
      <c r="A1325" s="24" t="s">
        <v>7268</v>
      </c>
      <c r="B1325" s="24" t="s">
        <v>7269</v>
      </c>
      <c r="C1325" s="24" t="s">
        <v>7270</v>
      </c>
      <c r="E1325" s="31" t="s">
        <v>7271</v>
      </c>
      <c r="F1325" s="31" t="s">
        <v>7272</v>
      </c>
      <c r="G1325" s="31" t="s">
        <v>7273</v>
      </c>
      <c r="H1325" s="31" t="s">
        <v>7274</v>
      </c>
      <c r="I1325" s="31" t="s">
        <v>7275</v>
      </c>
      <c r="J1325" s="31"/>
      <c r="N1325" s="23" t="s">
        <v>3413</v>
      </c>
    </row>
    <row r="1326" spans="1:14" x14ac:dyDescent="0.35">
      <c r="A1326" s="24" t="s">
        <v>9613</v>
      </c>
      <c r="B1326" s="24" t="s">
        <v>7276</v>
      </c>
      <c r="C1326" s="24" t="s">
        <v>7277</v>
      </c>
      <c r="E1326" s="31" t="s">
        <v>3824</v>
      </c>
      <c r="F1326" s="31"/>
      <c r="G1326" s="31"/>
      <c r="H1326" s="31"/>
      <c r="I1326" s="31"/>
      <c r="J1326" s="31"/>
      <c r="N1326" s="23" t="s">
        <v>2304</v>
      </c>
    </row>
    <row r="1327" spans="1:14" x14ac:dyDescent="0.35">
      <c r="A1327" s="24" t="s">
        <v>7278</v>
      </c>
      <c r="B1327" s="24" t="s">
        <v>7279</v>
      </c>
      <c r="C1327" s="24" t="s">
        <v>7280</v>
      </c>
      <c r="E1327" s="31" t="s">
        <v>7281</v>
      </c>
      <c r="F1327" s="31"/>
      <c r="G1327" s="31"/>
      <c r="H1327" s="31"/>
      <c r="I1327" s="31"/>
      <c r="J1327" s="31"/>
      <c r="N1327" s="23" t="s">
        <v>3413</v>
      </c>
    </row>
    <row r="1328" spans="1:14" x14ac:dyDescent="0.35">
      <c r="A1328" s="24" t="s">
        <v>7282</v>
      </c>
      <c r="B1328" s="24" t="s">
        <v>7283</v>
      </c>
      <c r="C1328" s="24" t="s">
        <v>7284</v>
      </c>
      <c r="E1328" s="31" t="s">
        <v>7285</v>
      </c>
      <c r="F1328" s="31"/>
      <c r="G1328" s="31"/>
      <c r="H1328" s="31"/>
      <c r="I1328" s="31"/>
      <c r="J1328" s="31"/>
      <c r="N1328" s="23" t="s">
        <v>3413</v>
      </c>
    </row>
    <row r="1329" spans="1:14" x14ac:dyDescent="0.35">
      <c r="A1329" s="24" t="s">
        <v>7286</v>
      </c>
      <c r="B1329" s="24" t="s">
        <v>7287</v>
      </c>
      <c r="C1329" s="24" t="s">
        <v>7288</v>
      </c>
      <c r="E1329" s="31" t="s">
        <v>7289</v>
      </c>
      <c r="F1329" s="31" t="s">
        <v>7290</v>
      </c>
      <c r="G1329" s="31" t="s">
        <v>7291</v>
      </c>
      <c r="H1329" s="31" t="s">
        <v>7292</v>
      </c>
      <c r="I1329" s="31" t="s">
        <v>7293</v>
      </c>
      <c r="J1329" s="31"/>
      <c r="N1329" s="23" t="s">
        <v>3413</v>
      </c>
    </row>
    <row r="1330" spans="1:14" x14ac:dyDescent="0.35">
      <c r="A1330" s="24" t="s">
        <v>7294</v>
      </c>
      <c r="B1330" s="24" t="s">
        <v>7295</v>
      </c>
      <c r="C1330" s="24" t="s">
        <v>7296</v>
      </c>
      <c r="E1330" s="31" t="s">
        <v>7297</v>
      </c>
      <c r="F1330" s="31" t="s">
        <v>7298</v>
      </c>
      <c r="G1330" s="31" t="s">
        <v>7299</v>
      </c>
      <c r="H1330" s="31" t="s">
        <v>7300</v>
      </c>
      <c r="I1330" s="31" t="s">
        <v>7301</v>
      </c>
      <c r="J1330" s="31"/>
      <c r="N1330" s="23" t="s">
        <v>3413</v>
      </c>
    </row>
    <row r="1331" spans="1:14" x14ac:dyDescent="0.35">
      <c r="A1331" s="24" t="s">
        <v>7302</v>
      </c>
      <c r="B1331" s="24" t="s">
        <v>7302</v>
      </c>
      <c r="C1331" s="24" t="s">
        <v>7303</v>
      </c>
      <c r="E1331" s="31" t="s">
        <v>1706</v>
      </c>
      <c r="F1331" s="31" t="s">
        <v>1707</v>
      </c>
      <c r="G1331" s="31" t="s">
        <v>1708</v>
      </c>
      <c r="H1331" s="31" t="s">
        <v>1709</v>
      </c>
      <c r="I1331" s="31"/>
      <c r="J1331" s="31"/>
      <c r="N1331" s="23" t="s">
        <v>2304</v>
      </c>
    </row>
    <row r="1332" spans="1:14" x14ac:dyDescent="0.35">
      <c r="A1332" s="24" t="s">
        <v>7304</v>
      </c>
      <c r="B1332" s="24" t="s">
        <v>7305</v>
      </c>
      <c r="C1332" s="24" t="s">
        <v>7306</v>
      </c>
      <c r="E1332" s="31"/>
      <c r="F1332" s="31"/>
      <c r="G1332" s="31"/>
      <c r="H1332" s="31"/>
      <c r="I1332" s="31"/>
      <c r="J1332" s="31"/>
      <c r="N1332" s="23" t="s">
        <v>2304</v>
      </c>
    </row>
    <row r="1333" spans="1:14" x14ac:dyDescent="0.35">
      <c r="A1333" s="24" t="s">
        <v>7307</v>
      </c>
      <c r="B1333" s="24" t="s">
        <v>7308</v>
      </c>
      <c r="C1333" s="24" t="s">
        <v>7309</v>
      </c>
      <c r="E1333" s="31" t="s">
        <v>7310</v>
      </c>
      <c r="F1333" s="31" t="s">
        <v>7311</v>
      </c>
      <c r="G1333" s="31" t="s">
        <v>7312</v>
      </c>
      <c r="H1333" s="31" t="s">
        <v>7313</v>
      </c>
      <c r="I1333" s="31"/>
      <c r="J1333" s="31"/>
      <c r="N1333" s="23" t="s">
        <v>3413</v>
      </c>
    </row>
    <row r="1334" spans="1:14" ht="16.2" x14ac:dyDescent="0.35">
      <c r="A1334" s="24" t="s">
        <v>7314</v>
      </c>
      <c r="B1334" s="24" t="s">
        <v>7314</v>
      </c>
      <c r="C1334" s="24" t="s">
        <v>7315</v>
      </c>
      <c r="E1334" s="7" t="s">
        <v>9676</v>
      </c>
      <c r="F1334" s="31"/>
      <c r="G1334" s="31"/>
      <c r="H1334" s="31"/>
      <c r="I1334" s="31"/>
      <c r="J1334" s="31"/>
      <c r="N1334" s="23" t="s">
        <v>2304</v>
      </c>
    </row>
    <row r="1335" spans="1:14" x14ac:dyDescent="0.35">
      <c r="A1335" s="24" t="s">
        <v>7316</v>
      </c>
      <c r="B1335" s="24" t="s">
        <v>7316</v>
      </c>
      <c r="C1335" s="24" t="s">
        <v>7317</v>
      </c>
      <c r="E1335" s="31" t="s">
        <v>7318</v>
      </c>
      <c r="F1335" s="31" t="s">
        <v>7319</v>
      </c>
      <c r="G1335" s="31" t="s">
        <v>7320</v>
      </c>
      <c r="H1335" s="31" t="s">
        <v>7321</v>
      </c>
      <c r="I1335" s="31" t="s">
        <v>7322</v>
      </c>
      <c r="J1335" s="31"/>
      <c r="N1335" s="23" t="s">
        <v>2304</v>
      </c>
    </row>
    <row r="1336" spans="1:14" x14ac:dyDescent="0.35">
      <c r="A1336" s="24" t="s">
        <v>7323</v>
      </c>
      <c r="B1336" s="24" t="s">
        <v>7324</v>
      </c>
      <c r="C1336" s="24" t="s">
        <v>7325</v>
      </c>
      <c r="E1336" s="31" t="s">
        <v>7326</v>
      </c>
      <c r="F1336" s="31"/>
      <c r="G1336" s="31"/>
      <c r="H1336" s="31"/>
      <c r="I1336" s="31"/>
      <c r="J1336" s="31"/>
      <c r="N1336" s="23" t="s">
        <v>458</v>
      </c>
    </row>
    <row r="1337" spans="1:14" x14ac:dyDescent="0.35">
      <c r="A1337" s="24" t="s">
        <v>7327</v>
      </c>
      <c r="B1337" s="24" t="s">
        <v>7328</v>
      </c>
      <c r="C1337" s="24" t="s">
        <v>7329</v>
      </c>
      <c r="E1337" s="31" t="s">
        <v>7330</v>
      </c>
      <c r="F1337" s="31"/>
      <c r="G1337" s="31"/>
      <c r="H1337" s="31"/>
      <c r="I1337" s="31"/>
      <c r="J1337" s="31"/>
      <c r="N1337" s="23" t="s">
        <v>3413</v>
      </c>
    </row>
    <row r="1338" spans="1:14" x14ac:dyDescent="0.35">
      <c r="A1338" s="24" t="s">
        <v>7331</v>
      </c>
      <c r="B1338" s="24" t="s">
        <v>7331</v>
      </c>
      <c r="C1338" s="24" t="s">
        <v>7332</v>
      </c>
      <c r="E1338" s="31"/>
      <c r="F1338" s="31"/>
      <c r="G1338" s="31"/>
      <c r="H1338" s="31"/>
      <c r="I1338" s="31"/>
      <c r="J1338" s="31"/>
      <c r="N1338" s="23" t="s">
        <v>871</v>
      </c>
    </row>
    <row r="1339" spans="1:14" x14ac:dyDescent="0.35">
      <c r="A1339" s="24" t="s">
        <v>7333</v>
      </c>
      <c r="B1339" s="24" t="s">
        <v>7334</v>
      </c>
      <c r="C1339" s="24" t="s">
        <v>7335</v>
      </c>
      <c r="E1339" s="31" t="s">
        <v>7336</v>
      </c>
      <c r="F1339" s="31" t="s">
        <v>7337</v>
      </c>
      <c r="G1339" s="31" t="s">
        <v>7338</v>
      </c>
      <c r="H1339" s="31"/>
      <c r="I1339" s="31"/>
      <c r="J1339" s="31"/>
      <c r="N1339" s="23" t="s">
        <v>3413</v>
      </c>
    </row>
    <row r="1340" spans="1:14" x14ac:dyDescent="0.35">
      <c r="A1340" s="24" t="s">
        <v>7339</v>
      </c>
      <c r="B1340" s="24" t="s">
        <v>7340</v>
      </c>
      <c r="C1340" s="24" t="s">
        <v>7341</v>
      </c>
      <c r="E1340" s="31" t="s">
        <v>7342</v>
      </c>
      <c r="F1340" s="31"/>
      <c r="G1340" s="31"/>
      <c r="H1340" s="31"/>
      <c r="I1340" s="31"/>
      <c r="J1340" s="31"/>
      <c r="N1340" s="23" t="s">
        <v>871</v>
      </c>
    </row>
    <row r="1341" spans="1:14" x14ac:dyDescent="0.35">
      <c r="A1341" s="24" t="s">
        <v>7343</v>
      </c>
      <c r="B1341" s="24" t="s">
        <v>7344</v>
      </c>
      <c r="C1341" s="24" t="s">
        <v>7345</v>
      </c>
      <c r="E1341" s="31" t="s">
        <v>7346</v>
      </c>
      <c r="F1341" s="31" t="s">
        <v>7347</v>
      </c>
      <c r="G1341" s="31" t="s">
        <v>7348</v>
      </c>
      <c r="H1341" s="31" t="s">
        <v>7349</v>
      </c>
      <c r="I1341" s="31" t="s">
        <v>7350</v>
      </c>
      <c r="J1341" s="31"/>
      <c r="N1341" s="23" t="s">
        <v>3413</v>
      </c>
    </row>
    <row r="1342" spans="1:14" x14ac:dyDescent="0.35">
      <c r="A1342" s="24" t="s">
        <v>7351</v>
      </c>
      <c r="B1342" s="24" t="s">
        <v>7352</v>
      </c>
      <c r="C1342" s="24" t="s">
        <v>9447</v>
      </c>
      <c r="E1342" s="31" t="s">
        <v>7353</v>
      </c>
      <c r="F1342" s="31" t="s">
        <v>7354</v>
      </c>
      <c r="G1342" s="31" t="s">
        <v>7355</v>
      </c>
      <c r="H1342" s="31" t="s">
        <v>7356</v>
      </c>
      <c r="I1342" s="31" t="s">
        <v>7357</v>
      </c>
      <c r="J1342" s="31"/>
      <c r="N1342" s="23" t="s">
        <v>3413</v>
      </c>
    </row>
    <row r="1343" spans="1:14" x14ac:dyDescent="0.35">
      <c r="A1343" s="24" t="s">
        <v>7358</v>
      </c>
      <c r="B1343" s="24" t="s">
        <v>7359</v>
      </c>
      <c r="C1343" s="24" t="s">
        <v>7360</v>
      </c>
      <c r="E1343" s="31" t="s">
        <v>7361</v>
      </c>
      <c r="F1343" s="31" t="s">
        <v>7362</v>
      </c>
      <c r="G1343" s="31" t="s">
        <v>7363</v>
      </c>
      <c r="H1343" s="31" t="s">
        <v>7364</v>
      </c>
      <c r="I1343" s="31" t="s">
        <v>7365</v>
      </c>
      <c r="J1343" s="31"/>
      <c r="N1343" s="23" t="s">
        <v>3413</v>
      </c>
    </row>
    <row r="1344" spans="1:14" x14ac:dyDescent="0.35">
      <c r="A1344" s="24" t="s">
        <v>7366</v>
      </c>
      <c r="B1344" s="24" t="s">
        <v>7367</v>
      </c>
      <c r="C1344" s="24" t="s">
        <v>9460</v>
      </c>
      <c r="E1344" s="31"/>
      <c r="F1344" s="31"/>
      <c r="G1344" s="31"/>
      <c r="H1344" s="31"/>
      <c r="I1344" s="31"/>
      <c r="J1344" s="31"/>
      <c r="N1344" s="23" t="s">
        <v>2304</v>
      </c>
    </row>
    <row r="1345" spans="1:14" x14ac:dyDescent="0.35">
      <c r="A1345" s="24" t="s">
        <v>7368</v>
      </c>
      <c r="B1345" s="24" t="s">
        <v>7368</v>
      </c>
      <c r="C1345" s="24" t="s">
        <v>7369</v>
      </c>
      <c r="E1345" s="31" t="s">
        <v>7370</v>
      </c>
      <c r="F1345" s="31"/>
      <c r="G1345" s="31"/>
      <c r="H1345" s="31"/>
      <c r="I1345" s="31"/>
      <c r="J1345" s="31"/>
      <c r="N1345" s="23" t="s">
        <v>2304</v>
      </c>
    </row>
    <row r="1346" spans="1:14" x14ac:dyDescent="0.35">
      <c r="A1346" s="24" t="s">
        <v>7371</v>
      </c>
      <c r="B1346" s="24" t="s">
        <v>7371</v>
      </c>
      <c r="C1346" s="24" t="s">
        <v>7372</v>
      </c>
      <c r="E1346" s="31" t="s">
        <v>7373</v>
      </c>
      <c r="F1346" s="31"/>
      <c r="G1346" s="31"/>
      <c r="H1346" s="31"/>
      <c r="I1346" s="31"/>
      <c r="J1346" s="31"/>
      <c r="N1346" s="23" t="s">
        <v>2304</v>
      </c>
    </row>
    <row r="1347" spans="1:14" x14ac:dyDescent="0.35">
      <c r="A1347" s="24" t="s">
        <v>7374</v>
      </c>
      <c r="B1347" s="24" t="s">
        <v>7375</v>
      </c>
      <c r="C1347" s="24" t="s">
        <v>7376</v>
      </c>
      <c r="E1347" s="31" t="s">
        <v>7377</v>
      </c>
      <c r="F1347" s="31"/>
      <c r="G1347" s="31"/>
      <c r="H1347" s="31"/>
      <c r="I1347" s="31"/>
      <c r="J1347" s="31"/>
      <c r="N1347" s="23" t="s">
        <v>3413</v>
      </c>
    </row>
    <row r="1348" spans="1:14" x14ac:dyDescent="0.35">
      <c r="A1348" s="24" t="s">
        <v>7378</v>
      </c>
      <c r="B1348" s="24" t="s">
        <v>7379</v>
      </c>
      <c r="C1348" s="24" t="s">
        <v>7380</v>
      </c>
      <c r="E1348" s="31"/>
      <c r="F1348" s="31"/>
      <c r="G1348" s="31"/>
      <c r="H1348" s="31"/>
      <c r="I1348" s="31"/>
      <c r="J1348" s="31"/>
      <c r="N1348" s="23" t="s">
        <v>871</v>
      </c>
    </row>
    <row r="1349" spans="1:14" x14ac:dyDescent="0.35">
      <c r="A1349" s="24" t="s">
        <v>7381</v>
      </c>
      <c r="B1349" s="24" t="s">
        <v>7381</v>
      </c>
      <c r="C1349" s="24" t="s">
        <v>7382</v>
      </c>
      <c r="E1349" s="31" t="s">
        <v>7383</v>
      </c>
      <c r="F1349" s="31" t="s">
        <v>7384</v>
      </c>
      <c r="G1349" s="31"/>
      <c r="H1349" s="31"/>
      <c r="I1349" s="31"/>
      <c r="J1349" s="31"/>
      <c r="N1349" s="23" t="s">
        <v>871</v>
      </c>
    </row>
    <row r="1350" spans="1:14" x14ac:dyDescent="0.35">
      <c r="A1350" s="24" t="s">
        <v>7385</v>
      </c>
      <c r="B1350" s="24" t="s">
        <v>7386</v>
      </c>
      <c r="C1350" s="24" t="s">
        <v>7387</v>
      </c>
      <c r="E1350" s="31" t="s">
        <v>7388</v>
      </c>
      <c r="F1350" s="31" t="s">
        <v>7389</v>
      </c>
      <c r="G1350" s="31"/>
      <c r="H1350" s="31"/>
      <c r="I1350" s="31"/>
      <c r="J1350" s="31"/>
      <c r="N1350" s="23" t="s">
        <v>3413</v>
      </c>
    </row>
    <row r="1351" spans="1:14" x14ac:dyDescent="0.35">
      <c r="A1351" s="24" t="s">
        <v>7390</v>
      </c>
      <c r="B1351" s="24" t="s">
        <v>7391</v>
      </c>
      <c r="C1351" s="24" t="s">
        <v>7392</v>
      </c>
      <c r="E1351" s="31"/>
      <c r="F1351" s="31"/>
      <c r="G1351" s="31"/>
      <c r="H1351" s="31"/>
      <c r="I1351" s="31"/>
      <c r="J1351" s="31"/>
      <c r="N1351" s="23" t="s">
        <v>2304</v>
      </c>
    </row>
    <row r="1352" spans="1:14" x14ac:dyDescent="0.35">
      <c r="A1352" s="24" t="s">
        <v>7393</v>
      </c>
      <c r="B1352" s="24" t="s">
        <v>7394</v>
      </c>
      <c r="C1352" s="24" t="s">
        <v>7395</v>
      </c>
      <c r="E1352" s="31"/>
      <c r="F1352" s="31"/>
      <c r="G1352" s="31"/>
      <c r="H1352" s="31"/>
      <c r="I1352" s="31"/>
      <c r="J1352" s="31"/>
      <c r="N1352" s="23" t="s">
        <v>2304</v>
      </c>
    </row>
    <row r="1353" spans="1:14" x14ac:dyDescent="0.35">
      <c r="A1353" s="24" t="s">
        <v>7396</v>
      </c>
      <c r="B1353" s="24" t="s">
        <v>7397</v>
      </c>
      <c r="C1353" s="24" t="s">
        <v>7398</v>
      </c>
      <c r="E1353" s="31" t="s">
        <v>7399</v>
      </c>
      <c r="F1353" s="31"/>
      <c r="G1353" s="31"/>
      <c r="H1353" s="31"/>
      <c r="I1353" s="31"/>
      <c r="J1353" s="31"/>
      <c r="N1353" s="23" t="s">
        <v>2304</v>
      </c>
    </row>
    <row r="1354" spans="1:14" x14ac:dyDescent="0.35">
      <c r="A1354" s="24" t="s">
        <v>7400</v>
      </c>
      <c r="B1354" s="24" t="s">
        <v>7401</v>
      </c>
      <c r="C1354" s="24" t="s">
        <v>7402</v>
      </c>
      <c r="E1354" s="31" t="s">
        <v>7403</v>
      </c>
      <c r="F1354" s="31" t="s">
        <v>7404</v>
      </c>
      <c r="G1354" s="31"/>
      <c r="H1354" s="31"/>
      <c r="I1354" s="31"/>
      <c r="J1354" s="31"/>
      <c r="N1354" s="23" t="s">
        <v>3413</v>
      </c>
    </row>
    <row r="1355" spans="1:14" x14ac:dyDescent="0.35">
      <c r="A1355" s="24" t="s">
        <v>7405</v>
      </c>
      <c r="B1355" s="24" t="s">
        <v>7406</v>
      </c>
      <c r="C1355" s="24" t="s">
        <v>7407</v>
      </c>
      <c r="E1355" s="31" t="s">
        <v>7408</v>
      </c>
      <c r="F1355" s="31" t="s">
        <v>7409</v>
      </c>
      <c r="G1355" s="31" t="s">
        <v>7410</v>
      </c>
      <c r="H1355" s="31" t="s">
        <v>7411</v>
      </c>
      <c r="I1355" s="31" t="s">
        <v>7412</v>
      </c>
      <c r="J1355" s="31"/>
      <c r="N1355" s="23" t="s">
        <v>3413</v>
      </c>
    </row>
    <row r="1356" spans="1:14" x14ac:dyDescent="0.35">
      <c r="A1356" s="24" t="s">
        <v>7413</v>
      </c>
      <c r="B1356" s="24" t="s">
        <v>7414</v>
      </c>
      <c r="C1356" s="24" t="s">
        <v>7415</v>
      </c>
      <c r="E1356" s="31"/>
      <c r="F1356" s="31"/>
      <c r="G1356" s="31"/>
      <c r="H1356" s="31"/>
      <c r="I1356" s="31"/>
      <c r="J1356" s="31"/>
      <c r="N1356" s="23" t="s">
        <v>2304</v>
      </c>
    </row>
    <row r="1357" spans="1:14" ht="16.2" x14ac:dyDescent="0.35">
      <c r="A1357" s="24" t="s">
        <v>9629</v>
      </c>
      <c r="B1357" s="24" t="s">
        <v>7416</v>
      </c>
      <c r="C1357" s="24" t="s">
        <v>7417</v>
      </c>
      <c r="E1357" s="7" t="s">
        <v>9630</v>
      </c>
      <c r="F1357" s="31"/>
      <c r="G1357" s="31"/>
      <c r="H1357" s="31"/>
      <c r="I1357" s="31"/>
      <c r="J1357" s="31"/>
      <c r="N1357" s="23" t="s">
        <v>871</v>
      </c>
    </row>
    <row r="1358" spans="1:14" x14ac:dyDescent="0.35">
      <c r="A1358" s="24" t="s">
        <v>7418</v>
      </c>
      <c r="B1358" s="24" t="s">
        <v>7419</v>
      </c>
      <c r="C1358" s="24" t="s">
        <v>7420</v>
      </c>
      <c r="E1358" s="31" t="s">
        <v>7421</v>
      </c>
      <c r="F1358" s="31"/>
      <c r="G1358" s="31"/>
      <c r="H1358" s="31"/>
      <c r="I1358" s="31"/>
      <c r="J1358" s="31"/>
      <c r="N1358" s="23" t="s">
        <v>2304</v>
      </c>
    </row>
    <row r="1359" spans="1:14" x14ac:dyDescent="0.35">
      <c r="A1359" s="24" t="s">
        <v>7422</v>
      </c>
      <c r="B1359" s="24" t="s">
        <v>7422</v>
      </c>
      <c r="C1359" s="24" t="s">
        <v>7423</v>
      </c>
      <c r="E1359" s="31" t="s">
        <v>7424</v>
      </c>
      <c r="F1359" s="31"/>
      <c r="G1359" s="31"/>
      <c r="H1359" s="31"/>
      <c r="I1359" s="31"/>
      <c r="J1359" s="31"/>
      <c r="N1359" s="23" t="s">
        <v>2304</v>
      </c>
    </row>
    <row r="1360" spans="1:14" x14ac:dyDescent="0.35">
      <c r="A1360" s="24" t="s">
        <v>7425</v>
      </c>
      <c r="B1360" s="24" t="s">
        <v>7426</v>
      </c>
      <c r="C1360" s="24" t="s">
        <v>7427</v>
      </c>
      <c r="E1360" s="31" t="s">
        <v>7428</v>
      </c>
      <c r="F1360" s="31" t="s">
        <v>7429</v>
      </c>
      <c r="G1360" s="31" t="s">
        <v>7430</v>
      </c>
      <c r="H1360" s="31" t="s">
        <v>7431</v>
      </c>
      <c r="I1360" s="31"/>
      <c r="J1360" s="31"/>
      <c r="N1360" s="23" t="s">
        <v>3413</v>
      </c>
    </row>
    <row r="1361" spans="1:14" x14ac:dyDescent="0.35">
      <c r="A1361" s="24" t="s">
        <v>7432</v>
      </c>
      <c r="B1361" s="24" t="s">
        <v>7433</v>
      </c>
      <c r="C1361" s="24" t="s">
        <v>7434</v>
      </c>
      <c r="E1361" s="31" t="s">
        <v>7022</v>
      </c>
      <c r="F1361" s="31" t="s">
        <v>7023</v>
      </c>
      <c r="G1361" s="31" t="s">
        <v>7024</v>
      </c>
      <c r="H1361" s="31" t="s">
        <v>7025</v>
      </c>
      <c r="I1361" s="31" t="s">
        <v>7435</v>
      </c>
      <c r="J1361" s="31"/>
      <c r="N1361" s="23" t="s">
        <v>3413</v>
      </c>
    </row>
    <row r="1362" spans="1:14" x14ac:dyDescent="0.35">
      <c r="A1362" s="24" t="s">
        <v>7436</v>
      </c>
      <c r="B1362" s="24" t="s">
        <v>7437</v>
      </c>
      <c r="C1362" s="24" t="s">
        <v>7438</v>
      </c>
      <c r="E1362" s="31" t="s">
        <v>7439</v>
      </c>
      <c r="F1362" s="31" t="s">
        <v>7440</v>
      </c>
      <c r="G1362" s="31" t="s">
        <v>7441</v>
      </c>
      <c r="H1362" s="31"/>
      <c r="I1362" s="31"/>
      <c r="J1362" s="31"/>
      <c r="N1362" s="23" t="s">
        <v>3413</v>
      </c>
    </row>
    <row r="1363" spans="1:14" x14ac:dyDescent="0.35">
      <c r="A1363" s="24" t="s">
        <v>7442</v>
      </c>
      <c r="B1363" s="24" t="s">
        <v>7443</v>
      </c>
      <c r="C1363" s="24" t="s">
        <v>7444</v>
      </c>
      <c r="E1363" s="31"/>
      <c r="F1363" s="31"/>
      <c r="G1363" s="31"/>
      <c r="H1363" s="31"/>
      <c r="I1363" s="31"/>
      <c r="J1363" s="31"/>
      <c r="N1363" s="23" t="s">
        <v>2304</v>
      </c>
    </row>
    <row r="1364" spans="1:14" x14ac:dyDescent="0.35">
      <c r="A1364" s="24" t="s">
        <v>7445</v>
      </c>
      <c r="B1364" s="24" t="s">
        <v>7446</v>
      </c>
      <c r="C1364" s="24" t="s">
        <v>7447</v>
      </c>
      <c r="E1364" s="31" t="s">
        <v>7448</v>
      </c>
      <c r="F1364" s="31"/>
      <c r="G1364" s="31"/>
      <c r="H1364" s="31"/>
      <c r="I1364" s="31"/>
      <c r="J1364" s="31"/>
      <c r="N1364" s="23" t="s">
        <v>871</v>
      </c>
    </row>
    <row r="1365" spans="1:14" x14ac:dyDescent="0.35">
      <c r="A1365" s="24" t="s">
        <v>7449</v>
      </c>
      <c r="B1365" s="24" t="s">
        <v>7450</v>
      </c>
      <c r="C1365" s="24" t="s">
        <v>7451</v>
      </c>
      <c r="E1365" s="31" t="s">
        <v>7452</v>
      </c>
      <c r="F1365" s="31"/>
      <c r="G1365" s="31"/>
      <c r="H1365" s="31"/>
      <c r="I1365" s="31"/>
      <c r="J1365" s="31"/>
      <c r="N1365" s="23" t="s">
        <v>415</v>
      </c>
    </row>
    <row r="1366" spans="1:14" x14ac:dyDescent="0.35">
      <c r="A1366" s="24" t="s">
        <v>7453</v>
      </c>
      <c r="B1366" s="24" t="s">
        <v>7454</v>
      </c>
      <c r="C1366" s="24" t="s">
        <v>7455</v>
      </c>
      <c r="E1366" s="31" t="s">
        <v>7456</v>
      </c>
      <c r="F1366" s="31"/>
      <c r="G1366" s="31"/>
      <c r="H1366" s="31"/>
      <c r="I1366" s="31"/>
      <c r="J1366" s="31"/>
      <c r="N1366" s="23" t="s">
        <v>415</v>
      </c>
    </row>
    <row r="1367" spans="1:14" x14ac:dyDescent="0.35">
      <c r="A1367" s="24" t="s">
        <v>117</v>
      </c>
      <c r="B1367" s="24" t="s">
        <v>7457</v>
      </c>
      <c r="C1367" s="24" t="s">
        <v>7458</v>
      </c>
      <c r="D1367" s="24" t="s">
        <v>7459</v>
      </c>
      <c r="E1367" s="31" t="s">
        <v>7460</v>
      </c>
      <c r="F1367" s="31"/>
      <c r="G1367" s="31"/>
      <c r="H1367" s="31"/>
      <c r="I1367" s="31"/>
      <c r="J1367" s="31"/>
      <c r="L1367" s="24" t="s">
        <v>120</v>
      </c>
      <c r="N1367" s="23" t="s">
        <v>415</v>
      </c>
    </row>
    <row r="1368" spans="1:14" x14ac:dyDescent="0.35">
      <c r="A1368" s="24" t="s">
        <v>7461</v>
      </c>
      <c r="B1368" s="24" t="s">
        <v>7462</v>
      </c>
      <c r="C1368" s="24" t="s">
        <v>7463</v>
      </c>
      <c r="E1368" s="31" t="s">
        <v>7464</v>
      </c>
      <c r="F1368" s="31"/>
      <c r="G1368" s="31"/>
      <c r="H1368" s="31"/>
      <c r="I1368" s="31"/>
      <c r="J1368" s="31"/>
      <c r="N1368" s="23" t="s">
        <v>415</v>
      </c>
    </row>
    <row r="1369" spans="1:14" x14ac:dyDescent="0.35">
      <c r="A1369" s="24" t="s">
        <v>7465</v>
      </c>
      <c r="B1369" s="24" t="s">
        <v>7466</v>
      </c>
      <c r="C1369" s="24" t="s">
        <v>7467</v>
      </c>
      <c r="E1369" s="31" t="s">
        <v>7468</v>
      </c>
      <c r="F1369" s="31"/>
      <c r="G1369" s="31"/>
      <c r="H1369" s="31"/>
      <c r="I1369" s="31"/>
      <c r="J1369" s="31"/>
      <c r="N1369" s="23" t="s">
        <v>415</v>
      </c>
    </row>
    <row r="1370" spans="1:14" x14ac:dyDescent="0.35">
      <c r="A1370" s="24" t="s">
        <v>7469</v>
      </c>
      <c r="B1370" s="24" t="s">
        <v>7470</v>
      </c>
      <c r="C1370" s="24" t="s">
        <v>7471</v>
      </c>
      <c r="E1370" s="31" t="s">
        <v>7472</v>
      </c>
      <c r="F1370" s="31"/>
      <c r="G1370" s="31"/>
      <c r="H1370" s="31"/>
      <c r="I1370" s="31"/>
      <c r="J1370" s="31"/>
      <c r="N1370" s="23" t="s">
        <v>415</v>
      </c>
    </row>
    <row r="1371" spans="1:14" x14ac:dyDescent="0.35">
      <c r="A1371" s="24" t="s">
        <v>7473</v>
      </c>
      <c r="B1371" s="24" t="s">
        <v>7474</v>
      </c>
      <c r="C1371" s="24" t="s">
        <v>7475</v>
      </c>
      <c r="E1371" s="31" t="s">
        <v>7476</v>
      </c>
      <c r="F1371" s="31"/>
      <c r="G1371" s="31"/>
      <c r="H1371" s="31"/>
      <c r="I1371" s="31"/>
      <c r="J1371" s="31"/>
      <c r="N1371" s="23" t="s">
        <v>415</v>
      </c>
    </row>
    <row r="1372" spans="1:14" x14ac:dyDescent="0.35">
      <c r="A1372" s="24" t="s">
        <v>7477</v>
      </c>
      <c r="B1372" s="24" t="s">
        <v>7478</v>
      </c>
      <c r="C1372" s="24" t="s">
        <v>7479</v>
      </c>
      <c r="E1372" s="31" t="s">
        <v>7480</v>
      </c>
      <c r="F1372" s="31" t="s">
        <v>7481</v>
      </c>
      <c r="G1372" s="31" t="s">
        <v>7482</v>
      </c>
      <c r="H1372" s="31" t="s">
        <v>7483</v>
      </c>
      <c r="I1372" s="31" t="s">
        <v>7484</v>
      </c>
      <c r="J1372" s="31"/>
      <c r="N1372" s="23" t="s">
        <v>415</v>
      </c>
    </row>
    <row r="1373" spans="1:14" x14ac:dyDescent="0.35">
      <c r="A1373" s="24" t="s">
        <v>7485</v>
      </c>
      <c r="B1373" s="24" t="s">
        <v>7486</v>
      </c>
      <c r="C1373" s="24" t="s">
        <v>7487</v>
      </c>
      <c r="E1373" s="31" t="s">
        <v>7488</v>
      </c>
      <c r="F1373" s="31"/>
      <c r="G1373" s="31"/>
      <c r="H1373" s="31"/>
      <c r="I1373" s="31"/>
      <c r="J1373" s="31"/>
      <c r="N1373" s="23" t="s">
        <v>415</v>
      </c>
    </row>
    <row r="1374" spans="1:14" x14ac:dyDescent="0.35">
      <c r="A1374" s="24" t="s">
        <v>7489</v>
      </c>
      <c r="B1374" s="24" t="s">
        <v>7490</v>
      </c>
      <c r="C1374" s="24" t="s">
        <v>7491</v>
      </c>
      <c r="E1374" s="31" t="s">
        <v>7492</v>
      </c>
      <c r="F1374" s="31"/>
      <c r="G1374" s="31"/>
      <c r="H1374" s="31"/>
      <c r="I1374" s="31"/>
      <c r="J1374" s="31"/>
      <c r="N1374" s="23" t="s">
        <v>415</v>
      </c>
    </row>
    <row r="1375" spans="1:14" x14ac:dyDescent="0.35">
      <c r="A1375" s="24" t="s">
        <v>7493</v>
      </c>
      <c r="B1375" s="24" t="s">
        <v>7494</v>
      </c>
      <c r="C1375" s="24" t="s">
        <v>7495</v>
      </c>
      <c r="E1375" s="31" t="s">
        <v>7496</v>
      </c>
      <c r="F1375" s="31"/>
      <c r="G1375" s="31"/>
      <c r="H1375" s="31"/>
      <c r="I1375" s="31"/>
      <c r="J1375" s="31"/>
      <c r="N1375" s="23" t="s">
        <v>415</v>
      </c>
    </row>
    <row r="1376" spans="1:14" x14ac:dyDescent="0.35">
      <c r="A1376" s="24" t="s">
        <v>7497</v>
      </c>
      <c r="B1376" s="24" t="s">
        <v>7498</v>
      </c>
      <c r="C1376" s="24" t="s">
        <v>7499</v>
      </c>
      <c r="E1376" s="31" t="s">
        <v>7500</v>
      </c>
      <c r="F1376" s="31"/>
      <c r="G1376" s="31"/>
      <c r="H1376" s="31"/>
      <c r="I1376" s="31"/>
      <c r="J1376" s="31"/>
      <c r="N1376" s="23" t="s">
        <v>415</v>
      </c>
    </row>
    <row r="1377" spans="1:14" x14ac:dyDescent="0.35">
      <c r="A1377" s="24" t="s">
        <v>7501</v>
      </c>
      <c r="B1377" s="24" t="s">
        <v>7502</v>
      </c>
      <c r="C1377" s="24" t="s">
        <v>7503</v>
      </c>
      <c r="E1377" s="31" t="s">
        <v>7504</v>
      </c>
      <c r="F1377" s="31"/>
      <c r="G1377" s="31"/>
      <c r="H1377" s="31"/>
      <c r="I1377" s="31"/>
      <c r="J1377" s="31"/>
      <c r="N1377" s="23" t="s">
        <v>3413</v>
      </c>
    </row>
    <row r="1378" spans="1:14" x14ac:dyDescent="0.35">
      <c r="A1378" s="24" t="s">
        <v>7505</v>
      </c>
      <c r="B1378" s="24" t="s">
        <v>7506</v>
      </c>
      <c r="C1378" s="24" t="s">
        <v>7507</v>
      </c>
      <c r="E1378" s="31" t="s">
        <v>7508</v>
      </c>
      <c r="F1378" s="31"/>
      <c r="G1378" s="31"/>
      <c r="H1378" s="31"/>
      <c r="I1378" s="31"/>
      <c r="J1378" s="31"/>
      <c r="N1378" s="23" t="s">
        <v>415</v>
      </c>
    </row>
    <row r="1379" spans="1:14" x14ac:dyDescent="0.35">
      <c r="A1379" s="24" t="s">
        <v>7509</v>
      </c>
      <c r="B1379" s="24" t="s">
        <v>7510</v>
      </c>
      <c r="C1379" s="24" t="s">
        <v>7511</v>
      </c>
      <c r="E1379" s="31" t="s">
        <v>3758</v>
      </c>
      <c r="F1379" s="31" t="s">
        <v>7512</v>
      </c>
      <c r="G1379" s="31" t="s">
        <v>7513</v>
      </c>
      <c r="H1379" s="31" t="s">
        <v>7514</v>
      </c>
      <c r="I1379" s="31"/>
      <c r="J1379" s="31"/>
      <c r="N1379" s="23" t="s">
        <v>1169</v>
      </c>
    </row>
    <row r="1380" spans="1:14" x14ac:dyDescent="0.35">
      <c r="A1380" s="24" t="s">
        <v>7515</v>
      </c>
      <c r="B1380" s="24" t="s">
        <v>7516</v>
      </c>
      <c r="C1380" s="24" t="s">
        <v>7517</v>
      </c>
      <c r="E1380" s="31" t="s">
        <v>7518</v>
      </c>
      <c r="F1380" s="31"/>
      <c r="G1380" s="31"/>
      <c r="H1380" s="31"/>
      <c r="I1380" s="31"/>
      <c r="J1380" s="31"/>
      <c r="N1380" s="23" t="s">
        <v>1169</v>
      </c>
    </row>
    <row r="1381" spans="1:14" x14ac:dyDescent="0.35">
      <c r="A1381" s="24" t="s">
        <v>7519</v>
      </c>
      <c r="B1381" s="24" t="s">
        <v>7520</v>
      </c>
      <c r="C1381" s="24" t="s">
        <v>7521</v>
      </c>
      <c r="E1381" s="31" t="s">
        <v>7522</v>
      </c>
      <c r="F1381" s="31" t="s">
        <v>7523</v>
      </c>
      <c r="G1381" s="31" t="s">
        <v>7524</v>
      </c>
      <c r="H1381" s="31" t="s">
        <v>7525</v>
      </c>
      <c r="I1381" s="31" t="s">
        <v>7526</v>
      </c>
      <c r="J1381" s="31"/>
      <c r="N1381" s="23" t="s">
        <v>415</v>
      </c>
    </row>
    <row r="1382" spans="1:14" x14ac:dyDescent="0.35">
      <c r="A1382" s="24" t="s">
        <v>7527</v>
      </c>
      <c r="B1382" s="24" t="s">
        <v>7528</v>
      </c>
      <c r="C1382" s="24" t="s">
        <v>7529</v>
      </c>
      <c r="E1382" s="31" t="s">
        <v>5150</v>
      </c>
      <c r="F1382" s="31" t="s">
        <v>5151</v>
      </c>
      <c r="G1382" s="31" t="s">
        <v>5152</v>
      </c>
      <c r="N1382" s="23" t="s">
        <v>3413</v>
      </c>
    </row>
    <row r="1383" spans="1:14" x14ac:dyDescent="0.35">
      <c r="A1383" s="24" t="s">
        <v>7530</v>
      </c>
      <c r="B1383" s="24" t="s">
        <v>7530</v>
      </c>
      <c r="C1383" s="24" t="s">
        <v>7531</v>
      </c>
      <c r="E1383" s="31" t="s">
        <v>7532</v>
      </c>
      <c r="F1383" s="31" t="s">
        <v>7533</v>
      </c>
      <c r="G1383" s="31" t="s">
        <v>9450</v>
      </c>
      <c r="H1383" s="31" t="s">
        <v>4019</v>
      </c>
      <c r="I1383" s="31" t="s">
        <v>7534</v>
      </c>
      <c r="N1383" s="23" t="s">
        <v>415</v>
      </c>
    </row>
    <row r="1384" spans="1:14" x14ac:dyDescent="0.35">
      <c r="A1384" s="24" t="s">
        <v>7535</v>
      </c>
      <c r="B1384" s="24" t="s">
        <v>7536</v>
      </c>
      <c r="C1384" s="24" t="s">
        <v>7537</v>
      </c>
      <c r="E1384" s="31" t="s">
        <v>7538</v>
      </c>
      <c r="F1384" s="31" t="s">
        <v>7539</v>
      </c>
      <c r="N1384" s="23" t="s">
        <v>458</v>
      </c>
    </row>
    <row r="1385" spans="1:14" x14ac:dyDescent="0.35">
      <c r="A1385" s="24" t="s">
        <v>7540</v>
      </c>
      <c r="B1385" s="24" t="s">
        <v>7541</v>
      </c>
      <c r="C1385" s="24" t="s">
        <v>7542</v>
      </c>
      <c r="E1385" s="31" t="s">
        <v>7543</v>
      </c>
      <c r="N1385" s="23" t="s">
        <v>458</v>
      </c>
    </row>
    <row r="1386" spans="1:14" x14ac:dyDescent="0.35">
      <c r="A1386" s="24" t="s">
        <v>7544</v>
      </c>
      <c r="B1386" s="24" t="s">
        <v>7545</v>
      </c>
      <c r="C1386" s="24" t="s">
        <v>7546</v>
      </c>
      <c r="E1386" s="31" t="s">
        <v>7547</v>
      </c>
      <c r="N1386" s="23" t="s">
        <v>458</v>
      </c>
    </row>
    <row r="1387" spans="1:14" x14ac:dyDescent="0.35">
      <c r="A1387" s="24" t="s">
        <v>7548</v>
      </c>
      <c r="B1387" s="24" t="s">
        <v>7549</v>
      </c>
      <c r="C1387" s="24" t="s">
        <v>7550</v>
      </c>
      <c r="E1387" s="31" t="s">
        <v>7551</v>
      </c>
      <c r="N1387" s="23" t="s">
        <v>458</v>
      </c>
    </row>
    <row r="1388" spans="1:14" x14ac:dyDescent="0.35">
      <c r="A1388" s="24" t="s">
        <v>7552</v>
      </c>
      <c r="B1388" s="24" t="s">
        <v>7553</v>
      </c>
      <c r="C1388" s="24" t="s">
        <v>7554</v>
      </c>
      <c r="E1388" s="31" t="s">
        <v>7555</v>
      </c>
      <c r="N1388" s="23" t="s">
        <v>458</v>
      </c>
    </row>
    <row r="1389" spans="1:14" x14ac:dyDescent="0.35">
      <c r="A1389" s="24" t="s">
        <v>7556</v>
      </c>
      <c r="B1389" s="24" t="s">
        <v>7557</v>
      </c>
      <c r="C1389" s="24" t="s">
        <v>7558</v>
      </c>
      <c r="E1389" s="31" t="s">
        <v>7559</v>
      </c>
      <c r="N1389" s="23" t="s">
        <v>458</v>
      </c>
    </row>
    <row r="1390" spans="1:14" x14ac:dyDescent="0.35">
      <c r="A1390" s="24" t="s">
        <v>7560</v>
      </c>
      <c r="B1390" s="24" t="s">
        <v>7561</v>
      </c>
      <c r="C1390" s="24" t="s">
        <v>7562</v>
      </c>
      <c r="E1390" s="31" t="s">
        <v>7563</v>
      </c>
      <c r="N1390" s="23" t="s">
        <v>458</v>
      </c>
    </row>
    <row r="1391" spans="1:14" x14ac:dyDescent="0.35">
      <c r="A1391" s="24" t="s">
        <v>7564</v>
      </c>
      <c r="B1391" s="24" t="s">
        <v>7565</v>
      </c>
      <c r="C1391" s="24" t="s">
        <v>7566</v>
      </c>
      <c r="E1391" s="31" t="s">
        <v>7567</v>
      </c>
      <c r="F1391" s="31" t="s">
        <v>7568</v>
      </c>
      <c r="N1391" s="23" t="s">
        <v>3413</v>
      </c>
    </row>
    <row r="1392" spans="1:14" x14ac:dyDescent="0.35">
      <c r="A1392" s="24" t="s">
        <v>7569</v>
      </c>
      <c r="B1392" s="24" t="s">
        <v>7570</v>
      </c>
      <c r="C1392" s="24" t="s">
        <v>7571</v>
      </c>
      <c r="E1392" s="31" t="s">
        <v>7572</v>
      </c>
      <c r="N1392" s="23" t="s">
        <v>3413</v>
      </c>
    </row>
    <row r="1393" spans="1:14" x14ac:dyDescent="0.35">
      <c r="A1393" s="24" t="s">
        <v>7573</v>
      </c>
      <c r="B1393" s="24" t="s">
        <v>7574</v>
      </c>
      <c r="C1393" s="24" t="s">
        <v>7575</v>
      </c>
      <c r="E1393" s="31" t="s">
        <v>10129</v>
      </c>
      <c r="N1393" s="23" t="s">
        <v>3413</v>
      </c>
    </row>
    <row r="1394" spans="1:14" x14ac:dyDescent="0.35">
      <c r="A1394" s="24" t="s">
        <v>7576</v>
      </c>
      <c r="B1394" s="24" t="s">
        <v>7577</v>
      </c>
      <c r="C1394" s="24" t="s">
        <v>7578</v>
      </c>
      <c r="E1394" s="31" t="s">
        <v>7579</v>
      </c>
      <c r="F1394" s="31" t="s">
        <v>7580</v>
      </c>
      <c r="G1394" s="31" t="s">
        <v>7581</v>
      </c>
      <c r="H1394" s="31" t="s">
        <v>7582</v>
      </c>
      <c r="I1394" s="31" t="s">
        <v>7583</v>
      </c>
      <c r="N1394" s="23" t="s">
        <v>415</v>
      </c>
    </row>
    <row r="1395" spans="1:14" x14ac:dyDescent="0.35">
      <c r="A1395" s="24" t="s">
        <v>7584</v>
      </c>
      <c r="B1395" s="24" t="s">
        <v>7585</v>
      </c>
      <c r="C1395" s="24" t="s">
        <v>7586</v>
      </c>
      <c r="E1395" s="31" t="s">
        <v>81</v>
      </c>
      <c r="F1395" s="31" t="s">
        <v>7587</v>
      </c>
      <c r="G1395" s="31" t="s">
        <v>7588</v>
      </c>
      <c r="H1395" s="31" t="s">
        <v>7589</v>
      </c>
      <c r="I1395" s="31" t="s">
        <v>7590</v>
      </c>
      <c r="J1395" s="31" t="s">
        <v>7591</v>
      </c>
      <c r="N1395" s="23" t="s">
        <v>1696</v>
      </c>
    </row>
    <row r="1396" spans="1:14" x14ac:dyDescent="0.35">
      <c r="A1396" s="24" t="s">
        <v>23</v>
      </c>
      <c r="B1396" s="24" t="s">
        <v>7592</v>
      </c>
      <c r="C1396" s="24" t="s">
        <v>7593</v>
      </c>
      <c r="E1396" s="31" t="s">
        <v>28</v>
      </c>
      <c r="N1396" s="23" t="s">
        <v>415</v>
      </c>
    </row>
    <row r="1397" spans="1:14" x14ac:dyDescent="0.35">
      <c r="A1397" s="24" t="s">
        <v>7594</v>
      </c>
      <c r="B1397" s="24" t="s">
        <v>7595</v>
      </c>
      <c r="C1397" s="24" t="s">
        <v>7596</v>
      </c>
      <c r="E1397" s="24" t="s">
        <v>51</v>
      </c>
      <c r="N1397" s="23" t="s">
        <v>415</v>
      </c>
    </row>
    <row r="1398" spans="1:14" x14ac:dyDescent="0.35">
      <c r="A1398" s="24" t="s">
        <v>7597</v>
      </c>
      <c r="B1398" s="24" t="s">
        <v>7598</v>
      </c>
      <c r="C1398" s="24" t="s">
        <v>7599</v>
      </c>
      <c r="N1398" s="23" t="s">
        <v>3413</v>
      </c>
    </row>
    <row r="1399" spans="1:14" x14ac:dyDescent="0.35">
      <c r="A1399" s="24" t="s">
        <v>7600</v>
      </c>
      <c r="B1399" s="24" t="s">
        <v>7601</v>
      </c>
      <c r="C1399" s="24" t="s">
        <v>7602</v>
      </c>
      <c r="N1399" s="23" t="s">
        <v>3413</v>
      </c>
    </row>
    <row r="1400" spans="1:14" x14ac:dyDescent="0.35">
      <c r="A1400" s="24" t="s">
        <v>249</v>
      </c>
      <c r="B1400" s="24" t="s">
        <v>7603</v>
      </c>
      <c r="C1400" s="24" t="s">
        <v>7604</v>
      </c>
      <c r="E1400" s="31" t="s">
        <v>9703</v>
      </c>
      <c r="F1400" s="31" t="s">
        <v>9704</v>
      </c>
      <c r="N1400" s="23" t="s">
        <v>415</v>
      </c>
    </row>
    <row r="1401" spans="1:14" x14ac:dyDescent="0.35">
      <c r="A1401" s="24" t="s">
        <v>7605</v>
      </c>
      <c r="B1401" s="24" t="s">
        <v>7606</v>
      </c>
      <c r="C1401" s="24" t="s">
        <v>7607</v>
      </c>
      <c r="N1401" s="23" t="s">
        <v>415</v>
      </c>
    </row>
    <row r="1402" spans="1:14" x14ac:dyDescent="0.35">
      <c r="A1402" s="24" t="s">
        <v>7608</v>
      </c>
      <c r="B1402" s="24" t="s">
        <v>7609</v>
      </c>
      <c r="C1402" s="24" t="s">
        <v>7610</v>
      </c>
      <c r="N1402" s="23" t="s">
        <v>3413</v>
      </c>
    </row>
    <row r="1403" spans="1:14" x14ac:dyDescent="0.35">
      <c r="A1403" s="24" t="s">
        <v>1169</v>
      </c>
      <c r="B1403" s="24" t="s">
        <v>1169</v>
      </c>
      <c r="C1403" s="24" t="s">
        <v>7611</v>
      </c>
      <c r="E1403" s="31" t="s">
        <v>68</v>
      </c>
      <c r="N1403" s="23" t="s">
        <v>1169</v>
      </c>
    </row>
    <row r="1404" spans="1:14" x14ac:dyDescent="0.35">
      <c r="A1404" s="24" t="s">
        <v>242</v>
      </c>
      <c r="B1404" s="24" t="s">
        <v>7612</v>
      </c>
      <c r="C1404" s="24" t="s">
        <v>7613</v>
      </c>
      <c r="E1404" s="31" t="s">
        <v>245</v>
      </c>
      <c r="N1404" s="23" t="s">
        <v>415</v>
      </c>
    </row>
    <row r="1405" spans="1:14" x14ac:dyDescent="0.35">
      <c r="A1405" s="24" t="s">
        <v>7614</v>
      </c>
      <c r="B1405" s="24" t="s">
        <v>7615</v>
      </c>
      <c r="C1405" s="24" t="s">
        <v>7616</v>
      </c>
      <c r="N1405" s="23" t="s">
        <v>3413</v>
      </c>
    </row>
    <row r="1406" spans="1:14" x14ac:dyDescent="0.35">
      <c r="A1406" s="24" t="s">
        <v>7617</v>
      </c>
      <c r="B1406" s="24" t="s">
        <v>7618</v>
      </c>
      <c r="C1406" s="24" t="s">
        <v>7619</v>
      </c>
      <c r="E1406" s="31" t="s">
        <v>57</v>
      </c>
      <c r="N1406" s="23" t="s">
        <v>415</v>
      </c>
    </row>
    <row r="1407" spans="1:14" x14ac:dyDescent="0.35">
      <c r="A1407" s="24" t="s">
        <v>7620</v>
      </c>
      <c r="B1407" s="24" t="s">
        <v>7621</v>
      </c>
      <c r="C1407" s="24" t="s">
        <v>7622</v>
      </c>
      <c r="N1407" s="23" t="s">
        <v>3413</v>
      </c>
    </row>
    <row r="1408" spans="1:14" x14ac:dyDescent="0.35">
      <c r="A1408" s="24" t="s">
        <v>7623</v>
      </c>
      <c r="B1408" s="24" t="s">
        <v>7624</v>
      </c>
      <c r="C1408" s="24" t="s">
        <v>9412</v>
      </c>
      <c r="D1408" s="24" t="s">
        <v>9413</v>
      </c>
      <c r="N1408" s="23" t="s">
        <v>3413</v>
      </c>
    </row>
    <row r="1409" spans="1:14" ht="16.2" x14ac:dyDescent="0.35">
      <c r="A1409" s="24" t="s">
        <v>7625</v>
      </c>
      <c r="B1409" s="24" t="s">
        <v>734</v>
      </c>
      <c r="C1409" s="24" t="s">
        <v>7626</v>
      </c>
      <c r="E1409" s="31" t="s">
        <v>7627</v>
      </c>
      <c r="F1409" s="31" t="s">
        <v>7628</v>
      </c>
      <c r="G1409" s="31" t="s">
        <v>7629</v>
      </c>
      <c r="H1409" s="31" t="s">
        <v>7630</v>
      </c>
      <c r="I1409" s="7" t="s">
        <v>9716</v>
      </c>
      <c r="N1409" s="23" t="s">
        <v>415</v>
      </c>
    </row>
    <row r="1410" spans="1:14" ht="16.2" x14ac:dyDescent="0.35">
      <c r="A1410" s="24" t="s">
        <v>7631</v>
      </c>
      <c r="B1410" s="24" t="s">
        <v>7632</v>
      </c>
      <c r="C1410" s="24" t="s">
        <v>7633</v>
      </c>
      <c r="E1410" s="31" t="s">
        <v>7634</v>
      </c>
      <c r="F1410" s="7" t="s">
        <v>10218</v>
      </c>
      <c r="N1410" s="23" t="s">
        <v>458</v>
      </c>
    </row>
    <row r="1411" spans="1:14" x14ac:dyDescent="0.35">
      <c r="A1411" s="24" t="s">
        <v>7635</v>
      </c>
      <c r="B1411" s="24" t="s">
        <v>7636</v>
      </c>
      <c r="C1411" s="24" t="s">
        <v>9427</v>
      </c>
      <c r="D1411" s="24" t="s">
        <v>9429</v>
      </c>
      <c r="N1411" s="23" t="s">
        <v>3413</v>
      </c>
    </row>
    <row r="1412" spans="1:14" x14ac:dyDescent="0.35">
      <c r="A1412" s="24" t="s">
        <v>7637</v>
      </c>
      <c r="B1412" s="24" t="s">
        <v>7638</v>
      </c>
      <c r="C1412" s="24" t="s">
        <v>9428</v>
      </c>
      <c r="N1412" s="23" t="s">
        <v>3413</v>
      </c>
    </row>
    <row r="1413" spans="1:14" x14ac:dyDescent="0.35">
      <c r="A1413" s="24" t="s">
        <v>7639</v>
      </c>
      <c r="B1413" s="24" t="s">
        <v>7640</v>
      </c>
      <c r="C1413" s="24" t="s">
        <v>6162</v>
      </c>
      <c r="E1413" s="31" t="s">
        <v>6163</v>
      </c>
      <c r="F1413" s="31" t="s">
        <v>6164</v>
      </c>
      <c r="G1413" s="31" t="s">
        <v>6165</v>
      </c>
      <c r="H1413" s="31" t="s">
        <v>6166</v>
      </c>
      <c r="I1413" s="31" t="s">
        <v>6167</v>
      </c>
      <c r="J1413" s="31"/>
      <c r="N1413" s="23" t="s">
        <v>415</v>
      </c>
    </row>
    <row r="1414" spans="1:14" x14ac:dyDescent="0.35">
      <c r="A1414" s="24" t="s">
        <v>7641</v>
      </c>
      <c r="B1414" s="24" t="s">
        <v>7642</v>
      </c>
      <c r="C1414" s="24" t="s">
        <v>9430</v>
      </c>
      <c r="N1414" s="23" t="s">
        <v>3413</v>
      </c>
    </row>
    <row r="1415" spans="1:14" x14ac:dyDescent="0.35">
      <c r="A1415" s="24" t="s">
        <v>7643</v>
      </c>
      <c r="B1415" s="24" t="s">
        <v>7644</v>
      </c>
      <c r="C1415" s="24" t="s">
        <v>7645</v>
      </c>
      <c r="E1415" s="31" t="s">
        <v>7646</v>
      </c>
      <c r="F1415" s="31" t="s">
        <v>7647</v>
      </c>
      <c r="G1415" s="31" t="s">
        <v>7648</v>
      </c>
      <c r="N1415" s="23" t="s">
        <v>415</v>
      </c>
    </row>
    <row r="1416" spans="1:14" x14ac:dyDescent="0.35">
      <c r="A1416" s="24" t="s">
        <v>7649</v>
      </c>
      <c r="B1416" s="24" t="s">
        <v>2955</v>
      </c>
      <c r="C1416" s="24" t="s">
        <v>7650</v>
      </c>
      <c r="E1416" s="31" t="s">
        <v>7651</v>
      </c>
      <c r="F1416" s="31" t="s">
        <v>7652</v>
      </c>
      <c r="G1416" s="31" t="s">
        <v>7653</v>
      </c>
      <c r="H1416" s="31" t="s">
        <v>7654</v>
      </c>
      <c r="I1416" s="31" t="s">
        <v>7655</v>
      </c>
      <c r="J1416" s="31" t="s">
        <v>7656</v>
      </c>
      <c r="N1416" s="23" t="s">
        <v>415</v>
      </c>
    </row>
    <row r="1417" spans="1:14" x14ac:dyDescent="0.35">
      <c r="A1417" s="24" t="s">
        <v>7657</v>
      </c>
      <c r="B1417" s="24" t="s">
        <v>2955</v>
      </c>
      <c r="C1417" s="24" t="s">
        <v>7658</v>
      </c>
      <c r="E1417" s="31" t="s">
        <v>7659</v>
      </c>
      <c r="F1417" s="31" t="s">
        <v>7660</v>
      </c>
      <c r="G1417" s="31" t="s">
        <v>7661</v>
      </c>
      <c r="H1417" s="31" t="s">
        <v>7662</v>
      </c>
      <c r="I1417" s="31" t="s">
        <v>7663</v>
      </c>
      <c r="J1417" s="31" t="s">
        <v>7664</v>
      </c>
      <c r="N1417" s="23" t="s">
        <v>415</v>
      </c>
    </row>
    <row r="1418" spans="1:14" x14ac:dyDescent="0.35">
      <c r="A1418" s="24" t="s">
        <v>7665</v>
      </c>
      <c r="B1418" s="24" t="s">
        <v>7666</v>
      </c>
      <c r="C1418" s="24" t="s">
        <v>7667</v>
      </c>
      <c r="E1418" s="31" t="s">
        <v>7668</v>
      </c>
      <c r="F1418" s="31" t="s">
        <v>7669</v>
      </c>
      <c r="G1418" s="31" t="s">
        <v>7670</v>
      </c>
      <c r="H1418" s="31" t="s">
        <v>7671</v>
      </c>
      <c r="I1418" s="31" t="s">
        <v>7672</v>
      </c>
      <c r="J1418" s="31"/>
      <c r="N1418" s="23" t="s">
        <v>415</v>
      </c>
    </row>
    <row r="1419" spans="1:14" x14ac:dyDescent="0.35">
      <c r="A1419" s="24" t="s">
        <v>9397</v>
      </c>
      <c r="B1419" s="24" t="s">
        <v>9398</v>
      </c>
      <c r="C1419" s="24" t="s">
        <v>9431</v>
      </c>
      <c r="N1419" s="24" t="s">
        <v>3413</v>
      </c>
    </row>
    <row r="1420" spans="1:14" x14ac:dyDescent="0.35">
      <c r="A1420" s="24" t="s">
        <v>9410</v>
      </c>
      <c r="B1420" s="24" t="s">
        <v>9414</v>
      </c>
      <c r="C1420" s="24" t="s">
        <v>9411</v>
      </c>
      <c r="N1420" s="24" t="s">
        <v>415</v>
      </c>
    </row>
    <row r="1421" spans="1:14" x14ac:dyDescent="0.35">
      <c r="A1421" s="24" t="s">
        <v>9432</v>
      </c>
      <c r="B1421" s="24" t="s">
        <v>9433</v>
      </c>
      <c r="C1421" s="24" t="s">
        <v>9434</v>
      </c>
      <c r="N1421" s="24" t="s">
        <v>415</v>
      </c>
    </row>
    <row r="1422" spans="1:14" x14ac:dyDescent="0.35">
      <c r="A1422" s="24" t="s">
        <v>9451</v>
      </c>
      <c r="B1422" s="24" t="s">
        <v>9452</v>
      </c>
      <c r="C1422" s="24" t="s">
        <v>9453</v>
      </c>
      <c r="N1422" s="24" t="s">
        <v>3413</v>
      </c>
    </row>
    <row r="1423" spans="1:14" x14ac:dyDescent="0.35">
      <c r="A1423" s="24" t="s">
        <v>9456</v>
      </c>
      <c r="B1423" s="24" t="s">
        <v>9455</v>
      </c>
      <c r="C1423" s="24" t="s">
        <v>9457</v>
      </c>
      <c r="N1423" s="24" t="s">
        <v>2304</v>
      </c>
    </row>
    <row r="1424" spans="1:14" x14ac:dyDescent="0.35">
      <c r="A1424" s="24" t="s">
        <v>7764</v>
      </c>
      <c r="B1424" s="24" t="s">
        <v>7801</v>
      </c>
      <c r="C1424" s="24" t="s">
        <v>9458</v>
      </c>
      <c r="N1424" s="24" t="s">
        <v>2304</v>
      </c>
    </row>
    <row r="1425" spans="1:14" x14ac:dyDescent="0.35">
      <c r="A1425" s="24" t="s">
        <v>9462</v>
      </c>
      <c r="B1425" s="24" t="s">
        <v>9461</v>
      </c>
      <c r="C1425" s="24" t="s">
        <v>9463</v>
      </c>
      <c r="E1425" s="31" t="s">
        <v>9687</v>
      </c>
      <c r="F1425" s="31" t="s">
        <v>9688</v>
      </c>
      <c r="G1425" s="31" t="s">
        <v>9689</v>
      </c>
      <c r="H1425" s="31" t="s">
        <v>9690</v>
      </c>
      <c r="I1425" s="31" t="s">
        <v>9691</v>
      </c>
      <c r="N1425" s="24" t="s">
        <v>415</v>
      </c>
    </row>
    <row r="1426" spans="1:14" x14ac:dyDescent="0.35">
      <c r="A1426" s="24" t="s">
        <v>9464</v>
      </c>
      <c r="B1426" s="24" t="s">
        <v>9465</v>
      </c>
      <c r="C1426" s="24" t="s">
        <v>9466</v>
      </c>
      <c r="D1426" s="24" t="s">
        <v>9467</v>
      </c>
      <c r="N1426" s="24" t="s">
        <v>3413</v>
      </c>
    </row>
    <row r="1427" spans="1:14" x14ac:dyDescent="0.35">
      <c r="A1427" s="24" t="s">
        <v>9469</v>
      </c>
      <c r="B1427" s="24" t="s">
        <v>6906</v>
      </c>
      <c r="C1427" s="24" t="s">
        <v>9468</v>
      </c>
      <c r="N1427" s="24" t="s">
        <v>2304</v>
      </c>
    </row>
    <row r="1428" spans="1:14" x14ac:dyDescent="0.35">
      <c r="A1428" s="24" t="s">
        <v>9480</v>
      </c>
      <c r="B1428" s="24" t="s">
        <v>9481</v>
      </c>
      <c r="C1428" s="24" t="s">
        <v>9482</v>
      </c>
      <c r="N1428" s="24" t="s">
        <v>415</v>
      </c>
    </row>
    <row r="1429" spans="1:14" x14ac:dyDescent="0.35">
      <c r="A1429" s="24" t="s">
        <v>9483</v>
      </c>
      <c r="B1429" s="24" t="s">
        <v>9484</v>
      </c>
      <c r="C1429" s="24" t="s">
        <v>9485</v>
      </c>
      <c r="N1429" s="24" t="s">
        <v>415</v>
      </c>
    </row>
    <row r="1430" spans="1:14" x14ac:dyDescent="0.35">
      <c r="A1430" s="24" t="s">
        <v>9711</v>
      </c>
      <c r="B1430" s="24" t="s">
        <v>9712</v>
      </c>
      <c r="C1430" s="24" t="s">
        <v>9486</v>
      </c>
      <c r="E1430" s="31" t="s">
        <v>9713</v>
      </c>
      <c r="F1430" s="31" t="s">
        <v>9714</v>
      </c>
      <c r="G1430" s="31" t="s">
        <v>9715</v>
      </c>
      <c r="N1430" s="24" t="s">
        <v>458</v>
      </c>
    </row>
    <row r="1431" spans="1:14" x14ac:dyDescent="0.35">
      <c r="A1431" s="24" t="s">
        <v>9494</v>
      </c>
      <c r="B1431" s="24" t="s">
        <v>9493</v>
      </c>
      <c r="C1431" s="24" t="s">
        <v>9495</v>
      </c>
      <c r="E1431" s="31" t="s">
        <v>9496</v>
      </c>
      <c r="F1431" s="31" t="s">
        <v>9497</v>
      </c>
      <c r="G1431" s="31" t="s">
        <v>9498</v>
      </c>
      <c r="H1431" s="31" t="s">
        <v>9499</v>
      </c>
      <c r="I1431" s="31" t="s">
        <v>9500</v>
      </c>
      <c r="J1431" s="31" t="s">
        <v>9501</v>
      </c>
      <c r="N1431" s="24" t="s">
        <v>415</v>
      </c>
    </row>
    <row r="1432" spans="1:14" ht="16.2" x14ac:dyDescent="0.35">
      <c r="A1432" s="24" t="s">
        <v>9503</v>
      </c>
      <c r="B1432" s="24" t="s">
        <v>9504</v>
      </c>
      <c r="C1432" s="24" t="s">
        <v>9551</v>
      </c>
      <c r="E1432" s="7" t="s">
        <v>9552</v>
      </c>
      <c r="F1432" s="7" t="s">
        <v>9553</v>
      </c>
      <c r="G1432" s="7" t="s">
        <v>9554</v>
      </c>
      <c r="H1432" s="7" t="s">
        <v>9555</v>
      </c>
      <c r="I1432" s="7" t="s">
        <v>9556</v>
      </c>
      <c r="J1432" s="7" t="s">
        <v>9557</v>
      </c>
      <c r="N1432" s="24" t="s">
        <v>3413</v>
      </c>
    </row>
    <row r="1433" spans="1:14" x14ac:dyDescent="0.35">
      <c r="A1433" s="24" t="s">
        <v>9513</v>
      </c>
      <c r="B1433" s="24" t="s">
        <v>6505</v>
      </c>
      <c r="C1433" s="24" t="s">
        <v>9514</v>
      </c>
      <c r="E1433" s="31" t="s">
        <v>9521</v>
      </c>
      <c r="N1433" s="24" t="s">
        <v>458</v>
      </c>
    </row>
    <row r="1434" spans="1:14" x14ac:dyDescent="0.35">
      <c r="A1434" s="24" t="s">
        <v>9517</v>
      </c>
      <c r="B1434" s="24" t="s">
        <v>9517</v>
      </c>
      <c r="C1434" s="24" t="s">
        <v>9518</v>
      </c>
      <c r="N1434" s="24" t="s">
        <v>871</v>
      </c>
    </row>
    <row r="1435" spans="1:14" x14ac:dyDescent="0.35">
      <c r="A1435" s="24" t="s">
        <v>7742</v>
      </c>
      <c r="B1435" s="24" t="s">
        <v>7742</v>
      </c>
      <c r="C1435" s="24" t="s">
        <v>9523</v>
      </c>
      <c r="N1435" s="24" t="s">
        <v>415</v>
      </c>
    </row>
    <row r="1436" spans="1:14" x14ac:dyDescent="0.35">
      <c r="A1436" s="24" t="s">
        <v>9526</v>
      </c>
      <c r="B1436" s="24" t="s">
        <v>9586</v>
      </c>
      <c r="C1436" s="24" t="s">
        <v>9527</v>
      </c>
      <c r="N1436" s="24" t="s">
        <v>415</v>
      </c>
    </row>
    <row r="1437" spans="1:14" x14ac:dyDescent="0.35">
      <c r="A1437" s="24" t="s">
        <v>9528</v>
      </c>
      <c r="B1437" s="24" t="s">
        <v>9529</v>
      </c>
      <c r="C1437" s="24" t="s">
        <v>9530</v>
      </c>
      <c r="N1437" s="24" t="s">
        <v>871</v>
      </c>
    </row>
    <row r="1438" spans="1:14" x14ac:dyDescent="0.35">
      <c r="A1438" s="24" t="s">
        <v>9531</v>
      </c>
      <c r="B1438" s="24" t="s">
        <v>9532</v>
      </c>
      <c r="C1438" s="24" t="s">
        <v>9533</v>
      </c>
      <c r="N1438" s="24" t="s">
        <v>3413</v>
      </c>
    </row>
    <row r="1439" spans="1:14" x14ac:dyDescent="0.35">
      <c r="A1439" s="24" t="s">
        <v>9536</v>
      </c>
      <c r="B1439" s="24" t="s">
        <v>9537</v>
      </c>
      <c r="C1439" s="24" t="s">
        <v>9538</v>
      </c>
      <c r="N1439" s="24" t="s">
        <v>458</v>
      </c>
    </row>
    <row r="1440" spans="1:14" x14ac:dyDescent="0.35">
      <c r="A1440" s="24" t="s">
        <v>9540</v>
      </c>
      <c r="B1440" s="24" t="s">
        <v>9539</v>
      </c>
      <c r="C1440" s="24" t="s">
        <v>9541</v>
      </c>
      <c r="N1440" s="24" t="s">
        <v>871</v>
      </c>
    </row>
    <row r="1441" spans="1:14" ht="16.2" x14ac:dyDescent="0.35">
      <c r="A1441" s="24" t="s">
        <v>9542</v>
      </c>
      <c r="B1441" s="24" t="s">
        <v>9543</v>
      </c>
      <c r="C1441" s="24" t="s">
        <v>9544</v>
      </c>
      <c r="E1441" s="7" t="s">
        <v>9545</v>
      </c>
      <c r="F1441" s="7" t="s">
        <v>9546</v>
      </c>
      <c r="G1441" s="7" t="s">
        <v>9547</v>
      </c>
      <c r="H1441" s="7" t="s">
        <v>9548</v>
      </c>
      <c r="I1441" s="7" t="s">
        <v>9549</v>
      </c>
      <c r="J1441" s="7" t="s">
        <v>9550</v>
      </c>
      <c r="N1441" s="23" t="s">
        <v>415</v>
      </c>
    </row>
    <row r="1442" spans="1:14" ht="16.2" x14ac:dyDescent="0.35">
      <c r="A1442" s="24" t="s">
        <v>9558</v>
      </c>
      <c r="B1442" s="24" t="s">
        <v>9559</v>
      </c>
      <c r="C1442" s="24" t="s">
        <v>9560</v>
      </c>
      <c r="E1442" s="7" t="s">
        <v>9561</v>
      </c>
      <c r="F1442" s="7" t="s">
        <v>9562</v>
      </c>
      <c r="G1442" s="7" t="s">
        <v>9563</v>
      </c>
      <c r="H1442" s="7" t="s">
        <v>9564</v>
      </c>
      <c r="I1442" s="7" t="s">
        <v>9565</v>
      </c>
      <c r="J1442" s="7"/>
      <c r="N1442" s="24" t="s">
        <v>415</v>
      </c>
    </row>
    <row r="1443" spans="1:14" ht="16.2" x14ac:dyDescent="0.35">
      <c r="A1443" s="24" t="s">
        <v>9566</v>
      </c>
      <c r="B1443" s="24" t="s">
        <v>9567</v>
      </c>
      <c r="C1443" s="24" t="s">
        <v>9568</v>
      </c>
      <c r="E1443" s="7" t="s">
        <v>9569</v>
      </c>
      <c r="F1443" s="7" t="s">
        <v>9570</v>
      </c>
      <c r="G1443" s="7" t="s">
        <v>9571</v>
      </c>
      <c r="H1443" s="7" t="s">
        <v>9572</v>
      </c>
      <c r="I1443" s="7" t="s">
        <v>9573</v>
      </c>
      <c r="J1443" s="7" t="s">
        <v>9574</v>
      </c>
      <c r="N1443" s="24" t="s">
        <v>415</v>
      </c>
    </row>
    <row r="1444" spans="1:14" ht="16.2" x14ac:dyDescent="0.35">
      <c r="A1444" s="24" t="s">
        <v>9575</v>
      </c>
      <c r="B1444" s="24" t="s">
        <v>9576</v>
      </c>
      <c r="C1444" s="24" t="s">
        <v>9577</v>
      </c>
      <c r="E1444" s="7" t="s">
        <v>9578</v>
      </c>
      <c r="F1444" s="7" t="s">
        <v>9579</v>
      </c>
      <c r="G1444" s="7" t="s">
        <v>9580</v>
      </c>
      <c r="H1444" s="7" t="s">
        <v>9581</v>
      </c>
      <c r="I1444" s="7" t="s">
        <v>9582</v>
      </c>
      <c r="J1444" s="7" t="s">
        <v>9583</v>
      </c>
      <c r="N1444" s="24" t="s">
        <v>458</v>
      </c>
    </row>
    <row r="1445" spans="1:14" x14ac:dyDescent="0.35">
      <c r="A1445" s="24" t="s">
        <v>9591</v>
      </c>
      <c r="B1445" s="24" t="s">
        <v>877</v>
      </c>
      <c r="C1445" s="24" t="s">
        <v>9590</v>
      </c>
      <c r="N1445" s="23" t="s">
        <v>415</v>
      </c>
    </row>
    <row r="1446" spans="1:14" ht="16.2" x14ac:dyDescent="0.35">
      <c r="A1446" s="24" t="s">
        <v>9594</v>
      </c>
      <c r="B1446" s="24" t="s">
        <v>9595</v>
      </c>
      <c r="C1446" s="24" t="s">
        <v>9593</v>
      </c>
      <c r="E1446" s="7" t="s">
        <v>9596</v>
      </c>
      <c r="F1446" s="7" t="s">
        <v>9597</v>
      </c>
      <c r="G1446" s="7" t="s">
        <v>9598</v>
      </c>
      <c r="H1446" s="7" t="s">
        <v>9599</v>
      </c>
      <c r="I1446" s="7" t="s">
        <v>9600</v>
      </c>
      <c r="J1446" s="7" t="s">
        <v>9601</v>
      </c>
      <c r="N1446" s="24" t="s">
        <v>3413</v>
      </c>
    </row>
    <row r="1447" spans="1:14" ht="16.2" x14ac:dyDescent="0.35">
      <c r="A1447" s="24" t="s">
        <v>9619</v>
      </c>
      <c r="B1447" s="24" t="s">
        <v>9617</v>
      </c>
      <c r="C1447" s="24" t="s">
        <v>9618</v>
      </c>
      <c r="E1447" s="7" t="s">
        <v>10117</v>
      </c>
      <c r="F1447" s="7" t="s">
        <v>10118</v>
      </c>
      <c r="G1447" s="7" t="s">
        <v>10119</v>
      </c>
      <c r="H1447" s="7" t="s">
        <v>10120</v>
      </c>
      <c r="I1447" s="7" t="s">
        <v>10121</v>
      </c>
      <c r="J1447" s="7" t="s">
        <v>10122</v>
      </c>
      <c r="N1447" s="24" t="s">
        <v>415</v>
      </c>
    </row>
    <row r="1448" spans="1:14" ht="16.2" x14ac:dyDescent="0.35">
      <c r="A1448" s="24" t="s">
        <v>9620</v>
      </c>
      <c r="B1448" s="24" t="s">
        <v>9621</v>
      </c>
      <c r="C1448" s="24" t="s">
        <v>9622</v>
      </c>
      <c r="E1448" s="7" t="s">
        <v>9623</v>
      </c>
      <c r="F1448" s="7" t="s">
        <v>9624</v>
      </c>
      <c r="G1448" s="7" t="s">
        <v>9625</v>
      </c>
      <c r="H1448" s="7" t="s">
        <v>9626</v>
      </c>
      <c r="I1448" s="7" t="s">
        <v>9627</v>
      </c>
      <c r="J1448" s="7" t="s">
        <v>9628</v>
      </c>
      <c r="N1448" s="24" t="s">
        <v>415</v>
      </c>
    </row>
    <row r="1449" spans="1:14" ht="16.2" x14ac:dyDescent="0.35">
      <c r="A1449" s="24" t="s">
        <v>9632</v>
      </c>
      <c r="B1449" s="24" t="s">
        <v>9633</v>
      </c>
      <c r="C1449" s="24" t="s">
        <v>9634</v>
      </c>
      <c r="E1449" s="7" t="s">
        <v>9635</v>
      </c>
      <c r="F1449" s="7" t="s">
        <v>9636</v>
      </c>
      <c r="G1449" s="7" t="s">
        <v>9637</v>
      </c>
      <c r="H1449" s="7" t="s">
        <v>9638</v>
      </c>
      <c r="I1449" s="7" t="s">
        <v>9639</v>
      </c>
      <c r="J1449" s="7" t="s">
        <v>9640</v>
      </c>
      <c r="N1449" s="24" t="s">
        <v>415</v>
      </c>
    </row>
    <row r="1450" spans="1:14" ht="16.2" x14ac:dyDescent="0.35">
      <c r="A1450" s="24" t="s">
        <v>9654</v>
      </c>
      <c r="B1450" s="24" t="s">
        <v>9655</v>
      </c>
      <c r="C1450" s="24" t="s">
        <v>9656</v>
      </c>
      <c r="E1450" s="7" t="s">
        <v>9657</v>
      </c>
      <c r="F1450" s="7" t="s">
        <v>9658</v>
      </c>
      <c r="G1450" s="7" t="s">
        <v>9659</v>
      </c>
      <c r="H1450" s="7" t="s">
        <v>9660</v>
      </c>
      <c r="I1450" s="7" t="s">
        <v>9661</v>
      </c>
      <c r="J1450" s="7" t="s">
        <v>9662</v>
      </c>
      <c r="N1450" s="24" t="s">
        <v>3413</v>
      </c>
    </row>
    <row r="1451" spans="1:14" x14ac:dyDescent="0.35">
      <c r="A1451" s="24" t="s">
        <v>7709</v>
      </c>
      <c r="B1451" s="24" t="s">
        <v>9685</v>
      </c>
      <c r="C1451" s="24" t="s">
        <v>9686</v>
      </c>
      <c r="N1451" s="24" t="s">
        <v>415</v>
      </c>
    </row>
    <row r="1452" spans="1:14" ht="16.2" x14ac:dyDescent="0.35">
      <c r="A1452" s="24" t="s">
        <v>9692</v>
      </c>
      <c r="B1452" s="24" t="s">
        <v>9693</v>
      </c>
      <c r="C1452" s="24" t="s">
        <v>9694</v>
      </c>
      <c r="E1452" s="7" t="s">
        <v>9695</v>
      </c>
      <c r="F1452" s="7" t="s">
        <v>9696</v>
      </c>
      <c r="G1452" s="7" t="s">
        <v>9697</v>
      </c>
      <c r="H1452" s="7" t="s">
        <v>9698</v>
      </c>
      <c r="I1452" s="7"/>
      <c r="J1452" s="7"/>
      <c r="N1452" s="24" t="s">
        <v>415</v>
      </c>
    </row>
    <row r="1453" spans="1:14" ht="16.2" x14ac:dyDescent="0.35">
      <c r="A1453" s="24" t="s">
        <v>9717</v>
      </c>
      <c r="B1453" s="24" t="s">
        <v>9718</v>
      </c>
      <c r="C1453" s="24" t="s">
        <v>9719</v>
      </c>
      <c r="E1453" s="7" t="s">
        <v>9720</v>
      </c>
      <c r="F1453" s="7" t="s">
        <v>9721</v>
      </c>
      <c r="G1453" s="7" t="s">
        <v>9722</v>
      </c>
      <c r="H1453" s="7" t="s">
        <v>9723</v>
      </c>
      <c r="I1453" s="7" t="s">
        <v>9724</v>
      </c>
      <c r="J1453" s="7" t="s">
        <v>9725</v>
      </c>
      <c r="N1453" s="24" t="s">
        <v>415</v>
      </c>
    </row>
    <row r="1454" spans="1:14" ht="16.2" x14ac:dyDescent="0.35">
      <c r="A1454" s="24" t="s">
        <v>10044</v>
      </c>
      <c r="B1454" s="24" t="s">
        <v>10046</v>
      </c>
      <c r="C1454" s="24" t="s">
        <v>10049</v>
      </c>
      <c r="E1454" s="7" t="s">
        <v>10050</v>
      </c>
      <c r="F1454" s="7" t="s">
        <v>10051</v>
      </c>
      <c r="G1454" s="7" t="s">
        <v>10052</v>
      </c>
      <c r="N1454" s="24" t="s">
        <v>458</v>
      </c>
    </row>
    <row r="1455" spans="1:14" ht="16.2" x14ac:dyDescent="0.35">
      <c r="A1455" s="24" t="s">
        <v>10045</v>
      </c>
      <c r="B1455" s="24" t="s">
        <v>10047</v>
      </c>
      <c r="C1455" s="24" t="s">
        <v>10048</v>
      </c>
      <c r="E1455" s="7" t="s">
        <v>10053</v>
      </c>
      <c r="F1455" s="7" t="s">
        <v>10054</v>
      </c>
      <c r="G1455" s="7" t="s">
        <v>10055</v>
      </c>
      <c r="N1455" s="24" t="s">
        <v>458</v>
      </c>
    </row>
    <row r="1456" spans="1:14" ht="16.2" x14ac:dyDescent="0.35">
      <c r="A1456" s="24" t="s">
        <v>10057</v>
      </c>
      <c r="B1456" s="24" t="s">
        <v>10056</v>
      </c>
      <c r="C1456" s="24" t="s">
        <v>10058</v>
      </c>
      <c r="E1456" s="7" t="s">
        <v>173</v>
      </c>
      <c r="F1456" s="7" t="s">
        <v>10059</v>
      </c>
    </row>
    <row r="1457" spans="1:14" ht="16.2" x14ac:dyDescent="0.35">
      <c r="A1457" s="24" t="s">
        <v>10062</v>
      </c>
      <c r="B1457" s="24" t="s">
        <v>10063</v>
      </c>
      <c r="C1457" s="24" t="s">
        <v>10064</v>
      </c>
      <c r="E1457" s="7" t="s">
        <v>10065</v>
      </c>
      <c r="F1457" s="7" t="s">
        <v>10066</v>
      </c>
      <c r="G1457" s="7" t="s">
        <v>10067</v>
      </c>
      <c r="H1457" s="7" t="s">
        <v>10068</v>
      </c>
      <c r="I1457" s="7" t="s">
        <v>10069</v>
      </c>
      <c r="J1457" s="7" t="s">
        <v>10070</v>
      </c>
    </row>
    <row r="1458" spans="1:14" ht="16.2" x14ac:dyDescent="0.35">
      <c r="A1458" s="24" t="s">
        <v>10096</v>
      </c>
      <c r="B1458" s="24" t="s">
        <v>10097</v>
      </c>
      <c r="C1458" s="24" t="s">
        <v>10098</v>
      </c>
      <c r="E1458" s="7" t="s">
        <v>10099</v>
      </c>
      <c r="F1458" s="7" t="s">
        <v>10100</v>
      </c>
      <c r="G1458" s="7" t="s">
        <v>10101</v>
      </c>
      <c r="H1458" s="7" t="s">
        <v>10102</v>
      </c>
      <c r="I1458" s="7" t="s">
        <v>10103</v>
      </c>
      <c r="J1458" s="7" t="s">
        <v>10104</v>
      </c>
    </row>
    <row r="1459" spans="1:14" ht="16.2" x14ac:dyDescent="0.35">
      <c r="A1459" s="24" t="s">
        <v>10221</v>
      </c>
      <c r="B1459" s="24" t="s">
        <v>10225</v>
      </c>
      <c r="C1459" s="24" t="s">
        <v>10229</v>
      </c>
      <c r="E1459" s="7" t="s">
        <v>10233</v>
      </c>
      <c r="N1459" s="24" t="s">
        <v>458</v>
      </c>
    </row>
    <row r="1460" spans="1:14" ht="16.2" x14ac:dyDescent="0.35">
      <c r="A1460" s="24" t="s">
        <v>10222</v>
      </c>
      <c r="B1460" s="24" t="s">
        <v>10226</v>
      </c>
      <c r="C1460" s="24" t="s">
        <v>10230</v>
      </c>
      <c r="E1460" s="7" t="s">
        <v>10234</v>
      </c>
      <c r="N1460" s="24" t="s">
        <v>458</v>
      </c>
    </row>
    <row r="1461" spans="1:14" ht="16.2" x14ac:dyDescent="0.35">
      <c r="A1461" s="24" t="s">
        <v>10223</v>
      </c>
      <c r="B1461" s="24" t="s">
        <v>10227</v>
      </c>
      <c r="C1461" s="24" t="s">
        <v>10231</v>
      </c>
      <c r="E1461" s="7" t="s">
        <v>10235</v>
      </c>
      <c r="F1461" s="7" t="s">
        <v>10237</v>
      </c>
      <c r="N1461" s="24" t="s">
        <v>458</v>
      </c>
    </row>
    <row r="1462" spans="1:14" ht="16.2" x14ac:dyDescent="0.35">
      <c r="A1462" s="24" t="s">
        <v>10224</v>
      </c>
      <c r="B1462" s="24" t="s">
        <v>10228</v>
      </c>
      <c r="C1462" s="24" t="s">
        <v>10232</v>
      </c>
      <c r="E1462" s="7" t="s">
        <v>10236</v>
      </c>
      <c r="F1462" s="7" t="s">
        <v>10238</v>
      </c>
      <c r="N1462" s="24" t="s">
        <v>458</v>
      </c>
    </row>
    <row r="1463" spans="1:14" ht="16.2" x14ac:dyDescent="0.35">
      <c r="A1463" s="24" t="s">
        <v>10239</v>
      </c>
      <c r="B1463" s="24" t="s">
        <v>10240</v>
      </c>
      <c r="C1463" s="24" t="s">
        <v>10241</v>
      </c>
      <c r="E1463" s="7" t="s">
        <v>10242</v>
      </c>
      <c r="N1463" s="24" t="s">
        <v>458</v>
      </c>
    </row>
    <row r="1464" spans="1:14" ht="16.2" x14ac:dyDescent="0.35">
      <c r="A1464" s="24" t="s">
        <v>10243</v>
      </c>
      <c r="B1464" s="24" t="s">
        <v>10244</v>
      </c>
      <c r="C1464" s="24" t="s">
        <v>10245</v>
      </c>
      <c r="E1464" s="7" t="s">
        <v>10246</v>
      </c>
      <c r="N1464" s="24" t="s">
        <v>458</v>
      </c>
    </row>
    <row r="1465" spans="1:14" ht="16.2" x14ac:dyDescent="0.35">
      <c r="A1465" s="24" t="s">
        <v>10247</v>
      </c>
      <c r="B1465" s="24" t="s">
        <v>10248</v>
      </c>
      <c r="C1465" s="24" t="s">
        <v>10249</v>
      </c>
      <c r="E1465" s="7" t="s">
        <v>10250</v>
      </c>
      <c r="N1465" s="24" t="s">
        <v>458</v>
      </c>
    </row>
    <row r="1466" spans="1:14" ht="16.2" x14ac:dyDescent="0.35">
      <c r="A1466" s="24" t="s">
        <v>10251</v>
      </c>
      <c r="B1466" s="24" t="s">
        <v>10252</v>
      </c>
      <c r="C1466" s="24" t="s">
        <v>10253</v>
      </c>
      <c r="E1466" s="7" t="s">
        <v>10254</v>
      </c>
      <c r="N1466" s="24" t="s">
        <v>458</v>
      </c>
    </row>
    <row r="1467" spans="1:14" ht="16.2" x14ac:dyDescent="0.35">
      <c r="A1467" s="24" t="s">
        <v>10255</v>
      </c>
      <c r="B1467" s="24" t="s">
        <v>10256</v>
      </c>
      <c r="C1467" s="24" t="s">
        <v>10257</v>
      </c>
      <c r="E1467" s="7" t="s">
        <v>10258</v>
      </c>
      <c r="N1467" s="24" t="s">
        <v>458</v>
      </c>
    </row>
    <row r="1468" spans="1:14" ht="16.2" x14ac:dyDescent="0.35">
      <c r="A1468" s="24" t="s">
        <v>10259</v>
      </c>
      <c r="B1468" s="24" t="s">
        <v>10260</v>
      </c>
      <c r="C1468" s="24" t="s">
        <v>10261</v>
      </c>
      <c r="E1468" s="7" t="s">
        <v>10262</v>
      </c>
      <c r="N1468" s="24" t="s">
        <v>458</v>
      </c>
    </row>
    <row r="1469" spans="1:14" ht="16.2" x14ac:dyDescent="0.35">
      <c r="A1469" s="24" t="s">
        <v>10263</v>
      </c>
      <c r="B1469" s="24" t="s">
        <v>10264</v>
      </c>
      <c r="C1469" s="24" t="s">
        <v>10265</v>
      </c>
      <c r="E1469" s="7" t="s">
        <v>10266</v>
      </c>
      <c r="F1469" s="7" t="s">
        <v>10267</v>
      </c>
      <c r="G1469" s="7" t="s">
        <v>10268</v>
      </c>
      <c r="N1469" s="24" t="s">
        <v>458</v>
      </c>
    </row>
    <row r="1470" spans="1:14" ht="16.2" x14ac:dyDescent="0.35">
      <c r="A1470" s="24" t="s">
        <v>10269</v>
      </c>
      <c r="B1470" s="24" t="s">
        <v>10270</v>
      </c>
      <c r="C1470" s="24" t="s">
        <v>10271</v>
      </c>
      <c r="E1470" s="7" t="s">
        <v>10272</v>
      </c>
      <c r="N1470" s="24" t="s">
        <v>458</v>
      </c>
    </row>
    <row r="1471" spans="1:14" ht="16.2" x14ac:dyDescent="0.35">
      <c r="A1471" s="24" t="s">
        <v>10273</v>
      </c>
      <c r="B1471" s="24" t="s">
        <v>10274</v>
      </c>
      <c r="C1471" s="24" t="s">
        <v>10275</v>
      </c>
      <c r="E1471" s="7" t="s">
        <v>10276</v>
      </c>
      <c r="F1471" s="7" t="s">
        <v>10277</v>
      </c>
      <c r="N1471" s="24" t="s">
        <v>458</v>
      </c>
    </row>
    <row r="1472" spans="1:14" ht="16.2" x14ac:dyDescent="0.35">
      <c r="A1472" s="24" t="s">
        <v>10278</v>
      </c>
      <c r="B1472" s="24" t="s">
        <v>10279</v>
      </c>
      <c r="C1472" s="24" t="s">
        <v>10280</v>
      </c>
      <c r="E1472" s="7" t="s">
        <v>10281</v>
      </c>
      <c r="N1472" s="24" t="s">
        <v>458</v>
      </c>
    </row>
    <row r="1473" spans="1:14" ht="16.2" x14ac:dyDescent="0.35">
      <c r="A1473" s="24" t="s">
        <v>10282</v>
      </c>
      <c r="B1473" s="24" t="s">
        <v>10283</v>
      </c>
      <c r="C1473" s="24" t="s">
        <v>10284</v>
      </c>
      <c r="E1473" s="7" t="s">
        <v>10285</v>
      </c>
      <c r="F1473" s="7" t="s">
        <v>10286</v>
      </c>
      <c r="G1473" s="7" t="s">
        <v>10287</v>
      </c>
      <c r="N1473" s="24" t="s">
        <v>458</v>
      </c>
    </row>
    <row r="1474" spans="1:14" ht="16.2" x14ac:dyDescent="0.35">
      <c r="A1474" s="24" t="s">
        <v>10288</v>
      </c>
      <c r="B1474" s="24" t="s">
        <v>10289</v>
      </c>
      <c r="C1474" s="24" t="s">
        <v>10290</v>
      </c>
      <c r="E1474" s="7" t="s">
        <v>10291</v>
      </c>
      <c r="F1474" s="7" t="s">
        <v>10292</v>
      </c>
      <c r="G1474" s="7" t="s">
        <v>10293</v>
      </c>
      <c r="N1474" s="24" t="s">
        <v>458</v>
      </c>
    </row>
    <row r="1475" spans="1:14" ht="16.2" x14ac:dyDescent="0.35">
      <c r="A1475" s="24" t="s">
        <v>10294</v>
      </c>
      <c r="B1475" s="24" t="s">
        <v>10295</v>
      </c>
      <c r="C1475" s="24" t="s">
        <v>10296</v>
      </c>
      <c r="E1475" s="7" t="s">
        <v>10297</v>
      </c>
      <c r="N1475" s="24" t="s">
        <v>458</v>
      </c>
    </row>
    <row r="1476" spans="1:14" ht="16.2" x14ac:dyDescent="0.35">
      <c r="A1476" s="24" t="s">
        <v>10298</v>
      </c>
      <c r="B1476" s="24" t="s">
        <v>10299</v>
      </c>
      <c r="C1476" s="24" t="s">
        <v>10300</v>
      </c>
      <c r="E1476" s="7" t="s">
        <v>10301</v>
      </c>
      <c r="N1476" s="24" t="s">
        <v>458</v>
      </c>
    </row>
    <row r="1477" spans="1:14" ht="16.2" x14ac:dyDescent="0.35">
      <c r="A1477" s="24" t="s">
        <v>10302</v>
      </c>
      <c r="B1477" s="24" t="s">
        <v>10303</v>
      </c>
      <c r="C1477" s="24" t="s">
        <v>10304</v>
      </c>
      <c r="E1477" s="7" t="s">
        <v>10305</v>
      </c>
      <c r="N1477" s="24" t="s">
        <v>458</v>
      </c>
    </row>
    <row r="1478" spans="1:14" ht="16.2" x14ac:dyDescent="0.35">
      <c r="A1478" s="24" t="s">
        <v>10306</v>
      </c>
      <c r="B1478" s="24" t="s">
        <v>10307</v>
      </c>
      <c r="C1478" s="24" t="s">
        <v>10308</v>
      </c>
      <c r="E1478" s="7" t="s">
        <v>10309</v>
      </c>
      <c r="N1478" s="24" t="s">
        <v>458</v>
      </c>
    </row>
    <row r="1479" spans="1:14" ht="16.2" x14ac:dyDescent="0.35">
      <c r="A1479" s="24" t="s">
        <v>10310</v>
      </c>
      <c r="B1479" s="24" t="s">
        <v>10311</v>
      </c>
      <c r="C1479" s="24" t="s">
        <v>10312</v>
      </c>
      <c r="E1479" s="7" t="s">
        <v>10313</v>
      </c>
      <c r="N1479" s="24" t="s">
        <v>458</v>
      </c>
    </row>
    <row r="1480" spans="1:14" ht="16.2" x14ac:dyDescent="0.35">
      <c r="A1480" s="24" t="s">
        <v>10314</v>
      </c>
      <c r="B1480" s="24" t="s">
        <v>10315</v>
      </c>
      <c r="C1480" s="24" t="s">
        <v>10316</v>
      </c>
      <c r="E1480" s="7" t="s">
        <v>10317</v>
      </c>
      <c r="N1480" s="24" t="s">
        <v>458</v>
      </c>
    </row>
    <row r="1481" spans="1:14" ht="16.2" x14ac:dyDescent="0.35">
      <c r="A1481" s="24" t="s">
        <v>10318</v>
      </c>
      <c r="B1481" s="24" t="s">
        <v>10319</v>
      </c>
      <c r="C1481" s="24" t="s">
        <v>10320</v>
      </c>
      <c r="E1481" s="7" t="s">
        <v>10321</v>
      </c>
      <c r="F1481" s="7" t="s">
        <v>10322</v>
      </c>
      <c r="N1481" s="24" t="s">
        <v>458</v>
      </c>
    </row>
    <row r="1482" spans="1:14" ht="16.2" customHeight="1" x14ac:dyDescent="0.35">
      <c r="A1482" s="49" t="s">
        <v>10335</v>
      </c>
      <c r="B1482" s="24" t="s">
        <v>10336</v>
      </c>
      <c r="C1482" s="24" t="s">
        <v>10337</v>
      </c>
      <c r="E1482" s="7" t="s">
        <v>10338</v>
      </c>
    </row>
    <row r="1483" spans="1:14" ht="16.2" customHeight="1" x14ac:dyDescent="0.35">
      <c r="A1483" s="49" t="s">
        <v>10339</v>
      </c>
      <c r="B1483" s="24" t="s">
        <v>10340</v>
      </c>
      <c r="C1483" s="24" t="s">
        <v>10341</v>
      </c>
      <c r="E1483" s="7" t="s">
        <v>10342</v>
      </c>
    </row>
    <row r="1484" spans="1:14" ht="16.2" customHeight="1" x14ac:dyDescent="0.35">
      <c r="A1484" s="49" t="s">
        <v>10343</v>
      </c>
      <c r="B1484" s="24" t="s">
        <v>10344</v>
      </c>
      <c r="C1484" s="24" t="s">
        <v>10345</v>
      </c>
      <c r="E1484" s="7" t="s">
        <v>10346</v>
      </c>
      <c r="F1484" s="7" t="s">
        <v>10347</v>
      </c>
      <c r="G1484" s="7" t="s">
        <v>10348</v>
      </c>
      <c r="H1484" s="7" t="s">
        <v>10349</v>
      </c>
    </row>
    <row r="1485" spans="1:14" ht="16.2" customHeight="1" x14ac:dyDescent="0.35">
      <c r="A1485" s="49" t="s">
        <v>10350</v>
      </c>
      <c r="B1485" s="24" t="s">
        <v>10351</v>
      </c>
      <c r="C1485" s="24" t="s">
        <v>10352</v>
      </c>
      <c r="E1485" s="7" t="s">
        <v>10353</v>
      </c>
      <c r="F1485" s="7" t="s">
        <v>10354</v>
      </c>
      <c r="G1485" s="7" t="s">
        <v>10355</v>
      </c>
      <c r="H1485" s="7" t="s">
        <v>10356</v>
      </c>
      <c r="I1485" s="7" t="s">
        <v>10357</v>
      </c>
      <c r="J1485" s="7" t="s">
        <v>10358</v>
      </c>
    </row>
    <row r="1486" spans="1:14" ht="16.2" customHeight="1" x14ac:dyDescent="0.35">
      <c r="A1486" s="49" t="s">
        <v>10359</v>
      </c>
      <c r="B1486" s="24" t="s">
        <v>10360</v>
      </c>
      <c r="C1486" s="24" t="s">
        <v>10361</v>
      </c>
      <c r="E1486" s="7" t="s">
        <v>10362</v>
      </c>
      <c r="F1486" s="7" t="s">
        <v>10363</v>
      </c>
      <c r="G1486" s="7" t="s">
        <v>10364</v>
      </c>
    </row>
    <row r="1487" spans="1:14" ht="16.2" x14ac:dyDescent="0.35">
      <c r="A1487" s="24" t="s">
        <v>10365</v>
      </c>
      <c r="B1487" s="24" t="s">
        <v>10366</v>
      </c>
      <c r="C1487" s="24" t="s">
        <v>10367</v>
      </c>
      <c r="E1487" s="7" t="s">
        <v>10368</v>
      </c>
      <c r="F1487" s="7" t="s">
        <v>10369</v>
      </c>
      <c r="G1487" s="7" t="s">
        <v>10370</v>
      </c>
      <c r="H1487" s="7" t="s">
        <v>10371</v>
      </c>
      <c r="I1487" s="7" t="s">
        <v>10372</v>
      </c>
      <c r="J1487" s="7" t="s">
        <v>10373</v>
      </c>
      <c r="K1487" s="7" t="s">
        <v>10374</v>
      </c>
    </row>
    <row r="1488" spans="1:14" ht="16.2" x14ac:dyDescent="0.35">
      <c r="A1488" s="24" t="s">
        <v>10380</v>
      </c>
      <c r="B1488" s="24" t="s">
        <v>10381</v>
      </c>
      <c r="C1488" s="24" t="s">
        <v>10382</v>
      </c>
      <c r="E1488" s="7" t="s">
        <v>10383</v>
      </c>
      <c r="F1488" s="7" t="s">
        <v>10384</v>
      </c>
      <c r="G1488" s="7" t="s">
        <v>10385</v>
      </c>
      <c r="H1488" s="7" t="s">
        <v>10386</v>
      </c>
      <c r="I1488" s="7" t="s">
        <v>10387</v>
      </c>
      <c r="J1488" s="7" t="s">
        <v>10388</v>
      </c>
      <c r="K1488" s="7"/>
      <c r="L1488" s="24" t="s">
        <v>3307</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7673</v>
      </c>
      <c r="B1" s="25" t="s">
        <v>7674</v>
      </c>
      <c r="C1" s="25" t="s">
        <v>7675</v>
      </c>
      <c r="D1" s="25" t="s">
        <v>7676</v>
      </c>
      <c r="E1" s="25" t="s">
        <v>7677</v>
      </c>
      <c r="F1" s="25" t="s">
        <v>7678</v>
      </c>
      <c r="G1" s="25" t="s">
        <v>7679</v>
      </c>
      <c r="H1" s="25" t="s">
        <v>7680</v>
      </c>
      <c r="I1" s="25" t="s">
        <v>7681</v>
      </c>
      <c r="J1" s="25" t="s">
        <v>7682</v>
      </c>
    </row>
    <row r="2" spans="1:10" s="10" customFormat="1" ht="15.6" customHeight="1" x14ac:dyDescent="0.3">
      <c r="A2" s="19" t="s">
        <v>3485</v>
      </c>
      <c r="B2" s="10" t="s">
        <v>2169</v>
      </c>
      <c r="C2" s="10" t="s">
        <v>756</v>
      </c>
    </row>
    <row r="3" spans="1:10" s="10" customFormat="1" ht="15.6" customHeight="1" x14ac:dyDescent="0.3">
      <c r="A3" s="19" t="s">
        <v>9487</v>
      </c>
      <c r="B3" s="19" t="s">
        <v>7351</v>
      </c>
      <c r="C3" s="19" t="s">
        <v>733</v>
      </c>
      <c r="D3" s="19" t="s">
        <v>5990</v>
      </c>
      <c r="E3" s="19" t="s">
        <v>3753</v>
      </c>
      <c r="F3" s="19" t="s">
        <v>2115</v>
      </c>
      <c r="G3" s="19" t="s">
        <v>3571</v>
      </c>
      <c r="H3" s="19"/>
      <c r="I3" s="19"/>
      <c r="J3" s="19"/>
    </row>
    <row r="4" spans="1:10" s="10" customFormat="1" ht="15.6" customHeight="1" x14ac:dyDescent="0.3">
      <c r="A4" s="19" t="s">
        <v>9473</v>
      </c>
      <c r="B4" s="19" t="s">
        <v>2321</v>
      </c>
      <c r="C4" s="20" t="s">
        <v>5300</v>
      </c>
      <c r="D4" s="19" t="s">
        <v>9494</v>
      </c>
      <c r="E4" s="19"/>
      <c r="F4" s="19"/>
      <c r="G4" s="19"/>
      <c r="H4" s="19"/>
      <c r="I4" s="19"/>
      <c r="J4" s="19"/>
    </row>
    <row r="5" spans="1:10" s="10" customFormat="1" ht="15.6" customHeight="1" x14ac:dyDescent="0.3">
      <c r="A5" s="19" t="s">
        <v>9515</v>
      </c>
      <c r="B5" s="19" t="s">
        <v>4352</v>
      </c>
      <c r="C5" s="19" t="s">
        <v>3641</v>
      </c>
      <c r="D5" s="19"/>
      <c r="E5" s="19"/>
      <c r="F5" s="19"/>
      <c r="G5" s="19"/>
      <c r="H5" s="19"/>
      <c r="I5" s="19"/>
      <c r="J5" s="19"/>
    </row>
    <row r="6" spans="1:10" s="10" customFormat="1" ht="15.6" customHeight="1" x14ac:dyDescent="0.35">
      <c r="A6" s="19" t="s">
        <v>3873</v>
      </c>
      <c r="B6" s="10" t="s">
        <v>3389</v>
      </c>
      <c r="C6" s="24" t="s">
        <v>3366</v>
      </c>
      <c r="D6" s="10" t="s">
        <v>5288</v>
      </c>
      <c r="E6" s="10" t="s">
        <v>3363</v>
      </c>
      <c r="F6" s="10" t="s">
        <v>835</v>
      </c>
      <c r="G6" s="34" t="s">
        <v>2325</v>
      </c>
    </row>
    <row r="7" spans="1:10" s="10" customFormat="1" ht="15.6" customHeight="1" x14ac:dyDescent="0.3">
      <c r="A7" s="19" t="s">
        <v>3881</v>
      </c>
      <c r="B7" s="34" t="s">
        <v>2390</v>
      </c>
      <c r="C7" s="34" t="s">
        <v>9456</v>
      </c>
      <c r="D7" s="10" t="s">
        <v>1622</v>
      </c>
      <c r="E7" s="10" t="s">
        <v>7764</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9614</v>
      </c>
      <c r="E9" s="34" t="s">
        <v>2407</v>
      </c>
    </row>
    <row r="10" spans="1:10" s="10" customFormat="1" ht="15.6" customHeight="1" x14ac:dyDescent="0.3">
      <c r="A10" s="19" t="s">
        <v>3946</v>
      </c>
      <c r="B10" s="10" t="s">
        <v>73</v>
      </c>
      <c r="C10" s="10" t="s">
        <v>4441</v>
      </c>
      <c r="D10" s="10" t="s">
        <v>7374</v>
      </c>
      <c r="E10" s="10" t="s">
        <v>3481</v>
      </c>
      <c r="F10" s="10" t="s">
        <v>4065</v>
      </c>
      <c r="G10" s="10" t="s">
        <v>6256</v>
      </c>
      <c r="H10" s="10" t="s">
        <v>3831</v>
      </c>
    </row>
    <row r="11" spans="1:10" s="10" customFormat="1" ht="15.6" customHeight="1" x14ac:dyDescent="0.3">
      <c r="A11" s="19" t="s">
        <v>3977</v>
      </c>
      <c r="B11" s="10" t="s">
        <v>2390</v>
      </c>
      <c r="C11" s="10" t="s">
        <v>705</v>
      </c>
      <c r="D11" s="10" t="s">
        <v>928</v>
      </c>
      <c r="E11" s="10" t="s">
        <v>932</v>
      </c>
      <c r="F11" s="10" t="s">
        <v>4857</v>
      </c>
      <c r="G11" s="10" t="s">
        <v>6035</v>
      </c>
      <c r="H11" s="10" t="s">
        <v>1678</v>
      </c>
      <c r="I11" s="10" t="s">
        <v>1627</v>
      </c>
      <c r="J11" s="10" t="s">
        <v>6035</v>
      </c>
    </row>
    <row r="12" spans="1:10" s="10" customFormat="1" ht="15.6" customHeight="1" x14ac:dyDescent="0.3">
      <c r="A12" s="19" t="s">
        <v>4024</v>
      </c>
      <c r="B12" s="10" t="s">
        <v>630</v>
      </c>
      <c r="C12" s="10" t="s">
        <v>4065</v>
      </c>
      <c r="D12" s="10" t="s">
        <v>6914</v>
      </c>
      <c r="E12" s="10" t="s">
        <v>6252</v>
      </c>
      <c r="F12" s="10" t="s">
        <v>3548</v>
      </c>
      <c r="G12" s="10" t="s">
        <v>3831</v>
      </c>
      <c r="H12" s="10" t="s">
        <v>7182</v>
      </c>
    </row>
    <row r="13" spans="1:10" s="10" customFormat="1" ht="15.6" customHeight="1" x14ac:dyDescent="0.3">
      <c r="A13" s="10" t="s">
        <v>2481</v>
      </c>
      <c r="B13" s="10" t="s">
        <v>2610</v>
      </c>
      <c r="C13" s="10" t="s">
        <v>3881</v>
      </c>
    </row>
    <row r="14" spans="1:10" s="10" customFormat="1" ht="15.6" customHeight="1" x14ac:dyDescent="0.35">
      <c r="A14" s="26" t="s">
        <v>9614</v>
      </c>
      <c r="B14" s="27" t="s">
        <v>1736</v>
      </c>
      <c r="C14" s="27" t="s">
        <v>2407</v>
      </c>
      <c r="D14" s="26" t="s">
        <v>7231</v>
      </c>
      <c r="E14" s="26" t="s">
        <v>4462</v>
      </c>
      <c r="F14" s="26"/>
      <c r="G14" s="26"/>
      <c r="H14" s="26"/>
      <c r="I14" s="26"/>
      <c r="J14" s="26"/>
    </row>
    <row r="15" spans="1:10" s="10" customFormat="1" ht="15.6" customHeight="1" x14ac:dyDescent="0.3">
      <c r="A15" s="19" t="s">
        <v>4029</v>
      </c>
      <c r="B15" s="10" t="s">
        <v>535</v>
      </c>
      <c r="C15" s="10" t="s">
        <v>544</v>
      </c>
      <c r="D15" s="10" t="s">
        <v>458</v>
      </c>
      <c r="E15" s="10" t="s">
        <v>6715</v>
      </c>
      <c r="F15" s="10" t="s">
        <v>4450</v>
      </c>
      <c r="G15" s="10" t="s">
        <v>7584</v>
      </c>
      <c r="H15" s="10" t="s">
        <v>7026</v>
      </c>
      <c r="I15" s="10" t="s">
        <v>7231</v>
      </c>
      <c r="J15" s="10" t="s">
        <v>7046</v>
      </c>
    </row>
    <row r="16" spans="1:10" s="10" customFormat="1" ht="15.6" customHeight="1" x14ac:dyDescent="0.3">
      <c r="A16" s="19" t="s">
        <v>4044</v>
      </c>
      <c r="B16" s="10" t="s">
        <v>29</v>
      </c>
      <c r="C16" s="10" t="s">
        <v>3028</v>
      </c>
      <c r="D16" s="10" t="s">
        <v>3753</v>
      </c>
      <c r="E16" s="10" t="s">
        <v>5726</v>
      </c>
      <c r="F16" s="10" t="s">
        <v>7390</v>
      </c>
    </row>
    <row r="17" spans="1:12" s="10" customFormat="1" ht="15.6" customHeight="1" x14ac:dyDescent="0.35">
      <c r="A17" s="26" t="s">
        <v>9535</v>
      </c>
      <c r="B17" s="26" t="s">
        <v>4462</v>
      </c>
      <c r="C17" s="26" t="s">
        <v>1736</v>
      </c>
      <c r="D17" s="26" t="s">
        <v>9614</v>
      </c>
      <c r="E17" s="26" t="s">
        <v>7231</v>
      </c>
      <c r="F17" s="24" t="s">
        <v>2407</v>
      </c>
      <c r="G17" s="26" t="s">
        <v>1711</v>
      </c>
      <c r="H17" s="26"/>
      <c r="I17" s="26"/>
      <c r="J17" s="26"/>
    </row>
    <row r="18" spans="1:12" s="10" customFormat="1" ht="15.6" customHeight="1" x14ac:dyDescent="0.3">
      <c r="A18" s="19" t="s">
        <v>9588</v>
      </c>
      <c r="B18" s="10" t="s">
        <v>3536</v>
      </c>
      <c r="C18" s="34" t="s">
        <v>2407</v>
      </c>
    </row>
    <row r="19" spans="1:12" s="10" customFormat="1" ht="15.6" customHeight="1" x14ac:dyDescent="0.3">
      <c r="A19" s="19" t="s">
        <v>6909</v>
      </c>
      <c r="B19" s="10" t="s">
        <v>7248</v>
      </c>
      <c r="C19" s="10" t="s">
        <v>1323</v>
      </c>
      <c r="D19" s="34" t="s">
        <v>2487</v>
      </c>
    </row>
    <row r="20" spans="1:12" s="10" customFormat="1" ht="15.6" customHeight="1" x14ac:dyDescent="0.3">
      <c r="A20" s="19" t="s">
        <v>6966</v>
      </c>
      <c r="B20" s="10" t="s">
        <v>4956</v>
      </c>
      <c r="C20" s="34" t="s">
        <v>6023</v>
      </c>
      <c r="D20" s="10" t="s">
        <v>3658</v>
      </c>
      <c r="E20" s="10" t="s">
        <v>6715</v>
      </c>
      <c r="F20" s="10" t="s">
        <v>4450</v>
      </c>
      <c r="G20" s="10" t="s">
        <v>7033</v>
      </c>
    </row>
    <row r="21" spans="1:12" s="10" customFormat="1" ht="15.6" customHeight="1" x14ac:dyDescent="0.3">
      <c r="A21" s="26" t="s">
        <v>9516</v>
      </c>
      <c r="B21" s="26" t="s">
        <v>3641</v>
      </c>
      <c r="C21" s="26" t="s">
        <v>4352</v>
      </c>
      <c r="D21" s="26"/>
      <c r="E21" s="26"/>
      <c r="F21" s="26"/>
      <c r="G21" s="26"/>
      <c r="H21" s="26"/>
      <c r="I21" s="26"/>
      <c r="J21" s="26"/>
    </row>
    <row r="22" spans="1:12" s="10" customFormat="1" ht="15.6" customHeight="1" x14ac:dyDescent="0.3">
      <c r="A22" s="19" t="s">
        <v>7090</v>
      </c>
      <c r="B22" s="10" t="s">
        <v>7393</v>
      </c>
      <c r="C22" s="34" t="s">
        <v>2445</v>
      </c>
      <c r="D22" s="10" t="s">
        <v>415</v>
      </c>
      <c r="E22" s="10" t="s">
        <v>6884</v>
      </c>
      <c r="K22" s="19"/>
      <c r="L22" s="19"/>
    </row>
    <row r="23" spans="1:12" s="10" customFormat="1" ht="15.6" customHeight="1" x14ac:dyDescent="0.3">
      <c r="A23" s="19" t="s">
        <v>7093</v>
      </c>
      <c r="B23" s="10" t="s">
        <v>4075</v>
      </c>
      <c r="C23" s="10" t="s">
        <v>6709</v>
      </c>
      <c r="D23" s="10" t="s">
        <v>3687</v>
      </c>
      <c r="E23" s="10" t="s">
        <v>4670</v>
      </c>
      <c r="K23" s="19"/>
      <c r="L23" s="19"/>
    </row>
    <row r="24" spans="1:12" s="10" customFormat="1" ht="15.6" customHeight="1" x14ac:dyDescent="0.3">
      <c r="A24" s="19" t="s">
        <v>7096</v>
      </c>
      <c r="B24" s="10" t="s">
        <v>3450</v>
      </c>
      <c r="K24" s="19"/>
      <c r="L24" s="19"/>
    </row>
    <row r="25" spans="1:12" s="10" customFormat="1" ht="15.6" customHeight="1" x14ac:dyDescent="0.3">
      <c r="A25" s="19" t="s">
        <v>7127</v>
      </c>
      <c r="B25" s="10" t="s">
        <v>5815</v>
      </c>
      <c r="C25" s="10" t="s">
        <v>4824</v>
      </c>
      <c r="D25" s="10" t="s">
        <v>6511</v>
      </c>
      <c r="E25" s="10" t="s">
        <v>3796</v>
      </c>
      <c r="F25" s="10" t="s">
        <v>5726</v>
      </c>
      <c r="G25" s="10" t="s">
        <v>3753</v>
      </c>
      <c r="K25" s="19"/>
      <c r="L25" s="19"/>
    </row>
    <row r="26" spans="1:12" s="10" customFormat="1" ht="15.6" customHeight="1" x14ac:dyDescent="0.3">
      <c r="A26" s="19" t="s">
        <v>7182</v>
      </c>
      <c r="B26" s="10" t="s">
        <v>4024</v>
      </c>
      <c r="C26" s="10" t="s">
        <v>4065</v>
      </c>
      <c r="D26" s="10" t="s">
        <v>6914</v>
      </c>
      <c r="E26" s="10" t="s">
        <v>6252</v>
      </c>
      <c r="F26" s="10" t="s">
        <v>3548</v>
      </c>
      <c r="G26" s="10" t="s">
        <v>3831</v>
      </c>
      <c r="K26" s="19"/>
      <c r="L26" s="19"/>
    </row>
    <row r="27" spans="1:12" s="10" customFormat="1" ht="15.6" customHeight="1" x14ac:dyDescent="0.3">
      <c r="A27" s="19" t="s">
        <v>7218</v>
      </c>
      <c r="B27" s="10" t="s">
        <v>4302</v>
      </c>
      <c r="C27" s="10" t="s">
        <v>5902</v>
      </c>
      <c r="D27" s="10" t="s">
        <v>4645</v>
      </c>
      <c r="E27" s="10" t="s">
        <v>6475</v>
      </c>
      <c r="F27" s="10" t="s">
        <v>458</v>
      </c>
      <c r="K27" s="19"/>
      <c r="L27" s="19"/>
    </row>
    <row r="28" spans="1:12" s="10" customFormat="1" ht="15.6" customHeight="1" x14ac:dyDescent="0.3">
      <c r="A28" s="19" t="s">
        <v>7246</v>
      </c>
      <c r="B28" s="10" t="s">
        <v>6475</v>
      </c>
      <c r="C28" s="10" t="s">
        <v>458</v>
      </c>
      <c r="D28" s="10" t="s">
        <v>932</v>
      </c>
      <c r="E28" s="10" t="s">
        <v>4751</v>
      </c>
      <c r="F28" s="10" t="s">
        <v>4129</v>
      </c>
      <c r="K28" s="19"/>
      <c r="L28" s="19"/>
    </row>
    <row r="29" spans="1:12" s="10" customFormat="1" ht="15.6" customHeight="1" x14ac:dyDescent="0.3">
      <c r="A29" s="19" t="s">
        <v>7248</v>
      </c>
      <c r="B29" s="22" t="s">
        <v>6909</v>
      </c>
      <c r="C29" s="19" t="s">
        <v>1323</v>
      </c>
      <c r="D29" s="34" t="s">
        <v>2487</v>
      </c>
      <c r="E29" s="19"/>
      <c r="F29" s="19"/>
      <c r="G29" s="19"/>
      <c r="H29" s="19"/>
      <c r="I29" s="19"/>
      <c r="J29" s="19"/>
      <c r="K29" s="19"/>
      <c r="L29" s="19"/>
    </row>
    <row r="30" spans="1:12" s="10" customFormat="1" x14ac:dyDescent="0.35">
      <c r="A30" s="26" t="s">
        <v>9613</v>
      </c>
      <c r="B30" s="27" t="s">
        <v>69</v>
      </c>
      <c r="C30" s="27" t="s">
        <v>1248</v>
      </c>
      <c r="D30" s="26" t="s">
        <v>1257</v>
      </c>
      <c r="E30" s="26" t="s">
        <v>1265</v>
      </c>
      <c r="F30" s="26" t="s">
        <v>1252</v>
      </c>
      <c r="G30" s="26" t="s">
        <v>1261</v>
      </c>
      <c r="H30" s="26" t="s">
        <v>1293</v>
      </c>
      <c r="I30" s="26" t="s">
        <v>7509</v>
      </c>
      <c r="J30" s="26" t="s">
        <v>2639</v>
      </c>
      <c r="K30" s="19"/>
      <c r="L30" s="19"/>
    </row>
    <row r="31" spans="1:12" s="10" customFormat="1" x14ac:dyDescent="0.3">
      <c r="A31" s="19" t="s">
        <v>7366</v>
      </c>
      <c r="B31" s="19" t="s">
        <v>1032</v>
      </c>
      <c r="C31" s="19" t="s">
        <v>6175</v>
      </c>
      <c r="D31" s="19" t="s">
        <v>6966</v>
      </c>
      <c r="E31" s="19"/>
      <c r="F31" s="19"/>
      <c r="G31" s="19"/>
      <c r="H31" s="19"/>
      <c r="I31" s="19"/>
      <c r="J31" s="19"/>
      <c r="K31" s="19"/>
      <c r="L31" s="19"/>
    </row>
    <row r="32" spans="1:12" s="10" customFormat="1" x14ac:dyDescent="0.3">
      <c r="A32" s="19" t="s">
        <v>7390</v>
      </c>
      <c r="B32" s="19" t="s">
        <v>957</v>
      </c>
      <c r="C32" s="19" t="s">
        <v>4044</v>
      </c>
      <c r="D32" s="34" t="s">
        <v>3742</v>
      </c>
      <c r="E32" s="19"/>
      <c r="F32" s="19"/>
      <c r="G32" s="19"/>
      <c r="H32" s="19"/>
      <c r="I32" s="19"/>
      <c r="J32" s="19"/>
      <c r="K32" s="19"/>
      <c r="L32" s="19"/>
    </row>
    <row r="33" spans="1:12" s="10" customFormat="1" x14ac:dyDescent="0.3">
      <c r="A33" s="19" t="s">
        <v>7393</v>
      </c>
      <c r="B33" s="10" t="s">
        <v>7090</v>
      </c>
      <c r="C33" s="34" t="s">
        <v>2445</v>
      </c>
      <c r="D33" s="10" t="s">
        <v>415</v>
      </c>
      <c r="E33" s="10" t="s">
        <v>6884</v>
      </c>
      <c r="F33" s="19"/>
      <c r="G33" s="19"/>
      <c r="H33" s="19"/>
      <c r="I33" s="19"/>
      <c r="J33" s="19"/>
      <c r="K33" s="19"/>
      <c r="L33" s="19"/>
    </row>
    <row r="34" spans="1:12" s="10" customFormat="1" x14ac:dyDescent="0.3">
      <c r="A34" s="19" t="s">
        <v>7413</v>
      </c>
      <c r="B34" s="34" t="s">
        <v>2551</v>
      </c>
      <c r="C34" s="34" t="s">
        <v>2384</v>
      </c>
      <c r="D34" s="19" t="s">
        <v>3652</v>
      </c>
      <c r="E34" s="19"/>
      <c r="F34" s="19"/>
      <c r="G34" s="19"/>
      <c r="H34" s="19"/>
      <c r="I34" s="19"/>
      <c r="J34" s="19"/>
    </row>
    <row r="35" spans="1:12" s="10" customFormat="1" x14ac:dyDescent="0.3">
      <c r="A35" s="19" t="s">
        <v>7418</v>
      </c>
      <c r="B35" s="19" t="s">
        <v>3349</v>
      </c>
      <c r="C35" s="34" t="s">
        <v>7371</v>
      </c>
      <c r="D35" s="19" t="s">
        <v>7625</v>
      </c>
      <c r="E35" s="19" t="s">
        <v>6277</v>
      </c>
      <c r="F35" s="19"/>
      <c r="G35" s="19"/>
      <c r="H35" s="19"/>
      <c r="I35" s="19"/>
      <c r="J35" s="19"/>
      <c r="K35" s="19"/>
      <c r="L35" s="19"/>
    </row>
    <row r="36" spans="1:12" s="10" customFormat="1" x14ac:dyDescent="0.3">
      <c r="A36" s="19" t="s">
        <v>1923</v>
      </c>
      <c r="B36" s="19" t="s">
        <v>1935</v>
      </c>
      <c r="C36" s="19" t="s">
        <v>7649</v>
      </c>
      <c r="D36" s="19" t="s">
        <v>7432</v>
      </c>
      <c r="E36" s="22" t="s">
        <v>5974</v>
      </c>
      <c r="F36" s="22" t="s">
        <v>2313</v>
      </c>
      <c r="G36" s="19" t="s">
        <v>2346</v>
      </c>
      <c r="H36" s="19"/>
      <c r="I36" s="19"/>
      <c r="J36" s="19"/>
      <c r="K36" s="19"/>
      <c r="L36" s="19"/>
    </row>
    <row r="37" spans="1:12" s="10" customFormat="1" x14ac:dyDescent="0.3">
      <c r="A37" s="19" t="s">
        <v>5208</v>
      </c>
      <c r="B37" s="19" t="s">
        <v>2846</v>
      </c>
      <c r="C37" s="22" t="s">
        <v>5745</v>
      </c>
      <c r="D37" s="19" t="s">
        <v>7351</v>
      </c>
      <c r="E37" s="19" t="s">
        <v>9397</v>
      </c>
      <c r="F37" s="19" t="s">
        <v>4129</v>
      </c>
      <c r="G37" s="19" t="s">
        <v>6368</v>
      </c>
      <c r="H37" s="19" t="s">
        <v>1474</v>
      </c>
      <c r="I37" s="34" t="s">
        <v>2889</v>
      </c>
      <c r="J37" s="19"/>
      <c r="K37" s="19"/>
      <c r="L37" s="19"/>
    </row>
    <row r="38" spans="1:12" s="10" customFormat="1" x14ac:dyDescent="0.3">
      <c r="A38" s="19" t="s">
        <v>5216</v>
      </c>
      <c r="B38" s="19" t="s">
        <v>6781</v>
      </c>
      <c r="C38" s="19" t="s">
        <v>2721</v>
      </c>
      <c r="D38" s="19" t="s">
        <v>29</v>
      </c>
      <c r="E38" s="19" t="s">
        <v>3028</v>
      </c>
      <c r="F38" s="19" t="s">
        <v>695</v>
      </c>
      <c r="G38" s="19" t="s">
        <v>4715</v>
      </c>
      <c r="H38" s="19" t="s">
        <v>1736</v>
      </c>
      <c r="I38" s="19" t="s">
        <v>9614</v>
      </c>
      <c r="J38" s="19"/>
      <c r="K38" s="19"/>
      <c r="L38" s="19"/>
    </row>
    <row r="39" spans="1:12" s="10" customFormat="1" x14ac:dyDescent="0.3">
      <c r="A39" s="19" t="s">
        <v>5224</v>
      </c>
      <c r="B39" s="19" t="s">
        <v>3414</v>
      </c>
      <c r="C39" s="19" t="s">
        <v>9448</v>
      </c>
      <c r="D39" s="19" t="s">
        <v>23</v>
      </c>
      <c r="E39" s="19" t="s">
        <v>2846</v>
      </c>
      <c r="F39" s="19" t="s">
        <v>34</v>
      </c>
      <c r="G39" s="19" t="s">
        <v>5292</v>
      </c>
      <c r="H39" s="19" t="s">
        <v>6572</v>
      </c>
      <c r="I39" s="19" t="s">
        <v>1568</v>
      </c>
      <c r="J39" s="19" t="s">
        <v>5951</v>
      </c>
      <c r="K39" s="19"/>
      <c r="L39" s="19"/>
    </row>
    <row r="40" spans="1:12" s="10" customFormat="1" x14ac:dyDescent="0.3">
      <c r="A40" s="19" t="s">
        <v>2225</v>
      </c>
      <c r="B40" s="19" t="s">
        <v>458</v>
      </c>
      <c r="C40" s="19" t="s">
        <v>5811</v>
      </c>
      <c r="D40" s="10" t="s">
        <v>4065</v>
      </c>
      <c r="E40" s="19" t="s">
        <v>3588</v>
      </c>
      <c r="F40" s="19" t="s">
        <v>3759</v>
      </c>
      <c r="G40" s="19" t="s">
        <v>7584</v>
      </c>
      <c r="H40" s="19" t="s">
        <v>9526</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9585</v>
      </c>
      <c r="B42" s="26" t="s">
        <v>4956</v>
      </c>
      <c r="C42" s="26" t="s">
        <v>6023</v>
      </c>
      <c r="D42" s="26"/>
      <c r="E42" s="26"/>
      <c r="F42" s="26"/>
      <c r="G42" s="26"/>
      <c r="H42" s="26"/>
      <c r="I42" s="26"/>
      <c r="J42" s="26"/>
      <c r="K42" s="19"/>
      <c r="L42" s="19"/>
    </row>
    <row r="43" spans="1:12" s="10" customFormat="1" x14ac:dyDescent="0.3">
      <c r="A43" s="19" t="s">
        <v>7011</v>
      </c>
      <c r="B43" s="10" t="s">
        <v>6664</v>
      </c>
      <c r="C43" s="10" t="s">
        <v>4033</v>
      </c>
      <c r="D43" s="10" t="s">
        <v>4078</v>
      </c>
      <c r="K43" s="19"/>
      <c r="L43" s="19"/>
    </row>
    <row r="44" spans="1:12" s="10" customFormat="1" x14ac:dyDescent="0.3">
      <c r="A44" s="19" t="s">
        <v>7157</v>
      </c>
      <c r="B44" s="19" t="s">
        <v>4956</v>
      </c>
      <c r="C44" s="19" t="s">
        <v>7033</v>
      </c>
      <c r="D44" s="19" t="s">
        <v>982</v>
      </c>
      <c r="E44" s="19" t="s">
        <v>985</v>
      </c>
      <c r="F44" s="19" t="s">
        <v>3532</v>
      </c>
      <c r="G44" s="19"/>
      <c r="H44" s="19"/>
      <c r="I44" s="19"/>
      <c r="J44" s="19"/>
    </row>
    <row r="45" spans="1:12" s="10" customFormat="1" x14ac:dyDescent="0.3">
      <c r="A45" s="19" t="s">
        <v>7304</v>
      </c>
      <c r="B45" s="19"/>
      <c r="C45" s="19"/>
      <c r="D45" s="19"/>
      <c r="E45" s="19"/>
      <c r="F45" s="19"/>
      <c r="G45" s="19"/>
      <c r="H45" s="19"/>
      <c r="I45" s="19"/>
      <c r="J45" s="19"/>
    </row>
    <row r="46" spans="1:12" s="10" customFormat="1" x14ac:dyDescent="0.3">
      <c r="A46" s="19" t="s">
        <v>7442</v>
      </c>
      <c r="B46" s="22" t="s">
        <v>2590</v>
      </c>
      <c r="C46" s="19" t="s">
        <v>4075</v>
      </c>
      <c r="D46" s="19"/>
      <c r="E46" s="19"/>
      <c r="F46" s="19"/>
      <c r="G46" s="19"/>
      <c r="H46" s="19"/>
      <c r="I46" s="19"/>
      <c r="J46" s="19"/>
      <c r="K46" s="19"/>
      <c r="L46" s="19"/>
    </row>
    <row r="47" spans="1:12" s="10" customFormat="1" x14ac:dyDescent="0.3">
      <c r="A47" s="19" t="s">
        <v>5232</v>
      </c>
      <c r="B47" s="19" t="s">
        <v>6023</v>
      </c>
      <c r="C47" s="22" t="s">
        <v>912</v>
      </c>
      <c r="D47" s="19" t="s">
        <v>944</v>
      </c>
      <c r="E47" s="19" t="s">
        <v>4686</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5951</v>
      </c>
      <c r="I48" s="34" t="s">
        <v>1454</v>
      </c>
      <c r="J48" s="19"/>
      <c r="K48" s="19"/>
      <c r="L48" s="19"/>
    </row>
    <row r="49" spans="1:12" s="10" customFormat="1" x14ac:dyDescent="0.3">
      <c r="A49" s="19" t="s">
        <v>5240</v>
      </c>
      <c r="B49" s="22" t="s">
        <v>5490</v>
      </c>
      <c r="C49" s="19" t="s">
        <v>3903</v>
      </c>
      <c r="D49" s="34" t="s">
        <v>2384</v>
      </c>
      <c r="E49" s="34" t="s">
        <v>3946</v>
      </c>
      <c r="F49" s="19" t="s">
        <v>6256</v>
      </c>
      <c r="G49" s="19"/>
      <c r="H49" s="19"/>
      <c r="I49" s="19"/>
      <c r="J49" s="19"/>
      <c r="K49" s="19"/>
      <c r="L49" s="19"/>
    </row>
    <row r="50" spans="1:12" s="10" customFormat="1" x14ac:dyDescent="0.3">
      <c r="A50" s="19" t="s">
        <v>2233</v>
      </c>
      <c r="B50" s="34" t="s">
        <v>458</v>
      </c>
      <c r="C50" s="20" t="s">
        <v>278</v>
      </c>
      <c r="D50" s="34" t="s">
        <v>1648</v>
      </c>
      <c r="E50" s="10" t="s">
        <v>5575</v>
      </c>
      <c r="F50" s="10" t="s">
        <v>2859</v>
      </c>
      <c r="G50" s="10" t="s">
        <v>1175</v>
      </c>
      <c r="H50" s="10" t="s">
        <v>1180</v>
      </c>
      <c r="I50" s="10" t="s">
        <v>1190</v>
      </c>
      <c r="J50" s="10" t="s">
        <v>2008</v>
      </c>
      <c r="K50" s="19"/>
      <c r="L50" s="19"/>
    </row>
    <row r="51" spans="1:12" s="10" customFormat="1" x14ac:dyDescent="0.3">
      <c r="A51" s="19" t="s">
        <v>5244</v>
      </c>
      <c r="B51" s="19" t="s">
        <v>458</v>
      </c>
      <c r="C51" s="19" t="s">
        <v>3434</v>
      </c>
      <c r="D51" s="10" t="s">
        <v>9614</v>
      </c>
      <c r="E51" s="10" t="s">
        <v>1736</v>
      </c>
      <c r="F51" s="34" t="s">
        <v>6351</v>
      </c>
      <c r="G51" s="19"/>
      <c r="H51" s="19"/>
      <c r="I51" s="19"/>
      <c r="J51" s="19"/>
    </row>
    <row r="52" spans="1:12" s="10" customFormat="1" x14ac:dyDescent="0.3">
      <c r="A52" s="19" t="s">
        <v>5251</v>
      </c>
      <c r="B52" s="34" t="s">
        <v>4816</v>
      </c>
      <c r="C52" s="19" t="s">
        <v>3074</v>
      </c>
      <c r="D52" s="34" t="s">
        <v>2292</v>
      </c>
      <c r="E52" s="19"/>
      <c r="F52" s="19"/>
      <c r="G52" s="19"/>
      <c r="H52" s="19"/>
      <c r="I52" s="19"/>
      <c r="J52" s="19"/>
      <c r="K52" s="19"/>
      <c r="L52" s="19"/>
    </row>
    <row r="53" spans="1:12" s="10" customFormat="1" x14ac:dyDescent="0.3">
      <c r="A53" s="34" t="s">
        <v>7649</v>
      </c>
      <c r="B53" s="10" t="s">
        <v>6857</v>
      </c>
      <c r="C53" s="10" t="s">
        <v>1935</v>
      </c>
      <c r="D53" s="10" t="s">
        <v>7432</v>
      </c>
      <c r="E53" s="10" t="s">
        <v>4865</v>
      </c>
      <c r="F53" s="10" t="s">
        <v>2639</v>
      </c>
      <c r="G53" s="34" t="s">
        <v>2648</v>
      </c>
      <c r="H53" s="10" t="s">
        <v>1915</v>
      </c>
      <c r="I53" s="10" t="s">
        <v>1923</v>
      </c>
      <c r="J53" s="10" t="s">
        <v>4523</v>
      </c>
    </row>
    <row r="54" spans="1:12" s="10" customFormat="1" x14ac:dyDescent="0.3">
      <c r="A54" s="34" t="s">
        <v>7657</v>
      </c>
      <c r="G54" s="34"/>
    </row>
    <row r="55" spans="1:12" s="10" customFormat="1" x14ac:dyDescent="0.3">
      <c r="A55" s="19" t="s">
        <v>3442</v>
      </c>
      <c r="B55" s="22" t="s">
        <v>6664</v>
      </c>
      <c r="C55" s="34" t="s">
        <v>6855</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5259</v>
      </c>
      <c r="B57" s="19" t="s">
        <v>4052</v>
      </c>
      <c r="C57" s="19" t="s">
        <v>6560</v>
      </c>
      <c r="D57" s="19" t="s">
        <v>9464</v>
      </c>
      <c r="E57" s="19" t="s">
        <v>674</v>
      </c>
      <c r="F57" s="19"/>
      <c r="G57" s="19"/>
      <c r="H57" s="19"/>
      <c r="I57" s="19"/>
      <c r="J57" s="19"/>
      <c r="K57" s="19"/>
      <c r="L57" s="19"/>
    </row>
    <row r="58" spans="1:12" s="10" customFormat="1" x14ac:dyDescent="0.3">
      <c r="A58" s="19" t="s">
        <v>5263</v>
      </c>
      <c r="B58" s="19" t="s">
        <v>7594</v>
      </c>
      <c r="C58" s="19" t="s">
        <v>4995</v>
      </c>
      <c r="D58" s="19" t="s">
        <v>3891</v>
      </c>
      <c r="E58" s="19" t="s">
        <v>2357</v>
      </c>
      <c r="F58" s="19" t="s">
        <v>4369</v>
      </c>
      <c r="G58" s="20" t="s">
        <v>9469</v>
      </c>
      <c r="H58" s="19"/>
      <c r="I58" s="19"/>
      <c r="J58" s="19"/>
      <c r="K58" s="19"/>
      <c r="L58" s="19"/>
    </row>
    <row r="59" spans="1:12" s="10" customFormat="1" x14ac:dyDescent="0.3">
      <c r="A59" s="19" t="s">
        <v>5267</v>
      </c>
      <c r="B59" s="19" t="s">
        <v>1665</v>
      </c>
      <c r="C59" s="34" t="s">
        <v>3397</v>
      </c>
      <c r="D59" s="19" t="s">
        <v>5429</v>
      </c>
      <c r="E59" s="19" t="s">
        <v>7635</v>
      </c>
      <c r="F59" s="19"/>
      <c r="G59" s="19"/>
      <c r="H59" s="19"/>
      <c r="I59" s="19"/>
      <c r="J59" s="19"/>
      <c r="K59" s="19"/>
      <c r="L59" s="19"/>
    </row>
    <row r="60" spans="1:12" s="10" customFormat="1" x14ac:dyDescent="0.3">
      <c r="A60" s="10" t="s">
        <v>2721</v>
      </c>
      <c r="B60" s="10" t="s">
        <v>458</v>
      </c>
      <c r="C60" s="10" t="s">
        <v>9502</v>
      </c>
      <c r="D60" s="10" t="s">
        <v>5675</v>
      </c>
      <c r="E60" s="10" t="s">
        <v>5650</v>
      </c>
      <c r="F60" s="10" t="s">
        <v>7584</v>
      </c>
      <c r="G60" s="10" t="s">
        <v>6091</v>
      </c>
      <c r="K60" s="19"/>
      <c r="L60" s="19"/>
    </row>
    <row r="61" spans="1:12" s="10" customFormat="1" x14ac:dyDescent="0.3">
      <c r="A61" s="19" t="s">
        <v>9502</v>
      </c>
      <c r="B61" s="19" t="s">
        <v>5902</v>
      </c>
      <c r="C61" s="22" t="s">
        <v>2721</v>
      </c>
      <c r="D61" s="19" t="s">
        <v>5650</v>
      </c>
      <c r="E61" s="19" t="s">
        <v>6091</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7600</v>
      </c>
      <c r="K63" s="19"/>
      <c r="L63" s="19"/>
    </row>
    <row r="64" spans="1:12" s="10" customFormat="1" x14ac:dyDescent="0.3">
      <c r="A64" s="10" t="s">
        <v>912</v>
      </c>
      <c r="B64" s="10" t="s">
        <v>4770</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4686</v>
      </c>
      <c r="G65" s="34" t="s">
        <v>4407</v>
      </c>
      <c r="H65" s="19"/>
      <c r="I65" s="19"/>
      <c r="J65" s="19"/>
    </row>
    <row r="66" spans="1:12" s="10" customFormat="1" x14ac:dyDescent="0.3">
      <c r="A66" s="19" t="s">
        <v>5282</v>
      </c>
      <c r="B66" s="22" t="s">
        <v>4738</v>
      </c>
      <c r="C66" s="22" t="s">
        <v>6831</v>
      </c>
      <c r="D66" s="22" t="s">
        <v>2604</v>
      </c>
      <c r="E66" s="19" t="s">
        <v>737</v>
      </c>
      <c r="F66" s="19" t="s">
        <v>6322</v>
      </c>
      <c r="G66" s="34" t="s">
        <v>9472</v>
      </c>
      <c r="H66" s="19"/>
      <c r="I66" s="19"/>
      <c r="J66" s="19"/>
      <c r="K66" s="19"/>
      <c r="L66" s="19"/>
    </row>
    <row r="67" spans="1:12" s="10" customFormat="1" x14ac:dyDescent="0.3">
      <c r="A67" s="19" t="s">
        <v>5288</v>
      </c>
      <c r="B67" s="19" t="s">
        <v>4616</v>
      </c>
      <c r="C67" s="22" t="s">
        <v>73</v>
      </c>
      <c r="D67" s="22" t="s">
        <v>7093</v>
      </c>
      <c r="E67" s="19" t="s">
        <v>3151</v>
      </c>
      <c r="F67" s="34" t="s">
        <v>705</v>
      </c>
      <c r="G67" s="34" t="s">
        <v>710</v>
      </c>
      <c r="H67" s="34" t="s">
        <v>713</v>
      </c>
      <c r="I67" s="34" t="s">
        <v>717</v>
      </c>
      <c r="J67" s="34" t="s">
        <v>728</v>
      </c>
    </row>
    <row r="68" spans="1:12" s="10" customFormat="1" x14ac:dyDescent="0.3">
      <c r="A68" s="19" t="s">
        <v>5292</v>
      </c>
      <c r="B68" s="22" t="s">
        <v>5920</v>
      </c>
      <c r="C68" s="22" t="s">
        <v>6792</v>
      </c>
      <c r="D68" s="19" t="s">
        <v>7597</v>
      </c>
      <c r="E68" s="19"/>
      <c r="F68" s="19"/>
      <c r="G68" s="19"/>
      <c r="H68" s="19"/>
      <c r="I68" s="19"/>
      <c r="J68" s="19"/>
    </row>
    <row r="69" spans="1:12" s="10" customFormat="1" x14ac:dyDescent="0.3">
      <c r="A69" s="19" t="s">
        <v>686</v>
      </c>
      <c r="B69" s="19" t="s">
        <v>5490</v>
      </c>
      <c r="C69" s="22" t="s">
        <v>2119</v>
      </c>
      <c r="D69" s="19" t="s">
        <v>3954</v>
      </c>
      <c r="E69" s="19" t="s">
        <v>642</v>
      </c>
      <c r="F69" s="19" t="s">
        <v>666</v>
      </c>
      <c r="G69" s="19" t="s">
        <v>3903</v>
      </c>
      <c r="H69" s="19" t="s">
        <v>7584</v>
      </c>
      <c r="I69" s="19" t="s">
        <v>1723</v>
      </c>
      <c r="J69" s="19"/>
    </row>
    <row r="70" spans="1:12" s="10" customFormat="1" x14ac:dyDescent="0.3">
      <c r="A70" s="19" t="s">
        <v>1927</v>
      </c>
      <c r="B70" s="19" t="s">
        <v>1935</v>
      </c>
      <c r="C70" s="19" t="s">
        <v>1919</v>
      </c>
      <c r="D70" s="19" t="s">
        <v>4745</v>
      </c>
      <c r="E70" s="19" t="s">
        <v>1915</v>
      </c>
      <c r="F70" s="19"/>
      <c r="G70" s="19"/>
      <c r="H70" s="19"/>
      <c r="I70" s="19"/>
      <c r="J70" s="19"/>
      <c r="K70" s="19"/>
      <c r="L70" s="19"/>
    </row>
    <row r="71" spans="1:12" s="10" customFormat="1" x14ac:dyDescent="0.3">
      <c r="A71" s="10" t="s">
        <v>2820</v>
      </c>
      <c r="B71" s="10" t="s">
        <v>2811</v>
      </c>
      <c r="C71" s="10" t="s">
        <v>9507</v>
      </c>
      <c r="D71" s="34" t="s">
        <v>2800</v>
      </c>
      <c r="E71" s="34" t="s">
        <v>9400</v>
      </c>
      <c r="F71" s="10" t="s">
        <v>1842</v>
      </c>
      <c r="G71" s="10" t="s">
        <v>2094</v>
      </c>
      <c r="H71" s="10" t="s">
        <v>5429</v>
      </c>
      <c r="I71" s="10" t="s">
        <v>3397</v>
      </c>
    </row>
    <row r="72" spans="1:12" s="10" customFormat="1" x14ac:dyDescent="0.3">
      <c r="A72" s="19" t="s">
        <v>5300</v>
      </c>
      <c r="B72" s="19" t="s">
        <v>1661</v>
      </c>
      <c r="C72" s="22" t="s">
        <v>4857</v>
      </c>
      <c r="D72" s="19" t="s">
        <v>1669</v>
      </c>
      <c r="E72" s="19" t="s">
        <v>2321</v>
      </c>
      <c r="F72" s="19" t="s">
        <v>9473</v>
      </c>
      <c r="G72" s="19" t="s">
        <v>2604</v>
      </c>
      <c r="H72" s="19"/>
      <c r="I72" s="19"/>
      <c r="J72" s="19"/>
      <c r="K72" s="19"/>
      <c r="L72" s="19"/>
    </row>
    <row r="73" spans="1:12" s="10" customFormat="1" x14ac:dyDescent="0.3">
      <c r="A73" s="10" t="s">
        <v>1829</v>
      </c>
      <c r="B73" s="10" t="s">
        <v>2329</v>
      </c>
      <c r="C73" s="10" t="s">
        <v>6186</v>
      </c>
      <c r="D73" s="10" t="s">
        <v>1394</v>
      </c>
      <c r="E73" s="10" t="s">
        <v>1398</v>
      </c>
      <c r="F73" s="10" t="s">
        <v>9448</v>
      </c>
      <c r="G73" s="10" t="s">
        <v>7014</v>
      </c>
      <c r="H73" s="10" t="s">
        <v>3414</v>
      </c>
      <c r="K73" s="19"/>
      <c r="L73" s="19"/>
    </row>
    <row r="74" spans="1:12" s="10" customFormat="1" x14ac:dyDescent="0.3">
      <c r="A74" s="10" t="s">
        <v>3200</v>
      </c>
      <c r="B74" s="10" t="s">
        <v>3176</v>
      </c>
      <c r="C74" s="10" t="s">
        <v>828</v>
      </c>
      <c r="D74" s="10" t="s">
        <v>6572</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4913</v>
      </c>
      <c r="D76" s="10" t="s">
        <v>6373</v>
      </c>
      <c r="E76" s="10" t="s">
        <v>6958</v>
      </c>
      <c r="K76" s="19"/>
      <c r="L76" s="19"/>
    </row>
    <row r="77" spans="1:12" s="10" customFormat="1" x14ac:dyDescent="0.3">
      <c r="A77" s="19" t="s">
        <v>3500</v>
      </c>
      <c r="B77" s="10" t="s">
        <v>4956</v>
      </c>
      <c r="C77" s="10" t="s">
        <v>7381</v>
      </c>
      <c r="D77" s="10" t="s">
        <v>3532</v>
      </c>
      <c r="E77" s="10" t="s">
        <v>7033</v>
      </c>
      <c r="F77" s="10" t="s">
        <v>6966</v>
      </c>
      <c r="K77" s="19"/>
      <c r="L77" s="19"/>
    </row>
    <row r="78" spans="1:12" s="10" customFormat="1" x14ac:dyDescent="0.3">
      <c r="A78" s="10" t="s">
        <v>746</v>
      </c>
      <c r="B78" s="10" t="s">
        <v>6172</v>
      </c>
      <c r="C78" s="34" t="s">
        <v>2636</v>
      </c>
      <c r="D78" s="10" t="s">
        <v>6914</v>
      </c>
      <c r="E78" s="10" t="s">
        <v>756</v>
      </c>
      <c r="F78" s="10" t="s">
        <v>750</v>
      </c>
      <c r="G78" s="10" t="s">
        <v>733</v>
      </c>
    </row>
    <row r="79" spans="1:12" s="10" customFormat="1" x14ac:dyDescent="0.3">
      <c r="A79" s="19" t="s">
        <v>5304</v>
      </c>
      <c r="B79" s="19" t="s">
        <v>7170</v>
      </c>
      <c r="C79" s="19" t="s">
        <v>4044</v>
      </c>
      <c r="D79" s="19" t="s">
        <v>5726</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4956</v>
      </c>
      <c r="C82" s="19" t="s">
        <v>3641</v>
      </c>
      <c r="D82" s="19" t="s">
        <v>9516</v>
      </c>
      <c r="E82" s="19"/>
      <c r="F82" s="19"/>
      <c r="G82" s="19"/>
      <c r="H82" s="19"/>
      <c r="I82" s="19"/>
      <c r="J82" s="19"/>
      <c r="K82" s="19"/>
      <c r="L82" s="19"/>
    </row>
    <row r="83" spans="1:12" s="10" customFormat="1" x14ac:dyDescent="0.3">
      <c r="A83" s="19" t="s">
        <v>928</v>
      </c>
      <c r="B83" s="19" t="s">
        <v>912</v>
      </c>
      <c r="C83" s="19" t="s">
        <v>936</v>
      </c>
      <c r="D83" s="22" t="s">
        <v>9400</v>
      </c>
      <c r="E83" s="19" t="s">
        <v>7351</v>
      </c>
      <c r="F83" s="19" t="s">
        <v>4857</v>
      </c>
      <c r="G83" s="19" t="s">
        <v>6035</v>
      </c>
      <c r="H83" s="19" t="s">
        <v>920</v>
      </c>
      <c r="I83" s="19" t="s">
        <v>924</v>
      </c>
      <c r="J83" s="19" t="s">
        <v>932</v>
      </c>
    </row>
    <row r="84" spans="1:12" s="10" customFormat="1" x14ac:dyDescent="0.3">
      <c r="A84" s="19" t="s">
        <v>5308</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5679</v>
      </c>
      <c r="C85" s="22"/>
      <c r="D85" s="19"/>
      <c r="E85" s="19"/>
      <c r="F85" s="19"/>
      <c r="G85" s="19"/>
      <c r="H85" s="19"/>
      <c r="I85" s="19"/>
      <c r="J85" s="19"/>
      <c r="K85" s="19"/>
      <c r="L85" s="19"/>
    </row>
    <row r="86" spans="1:12" s="10" customFormat="1" x14ac:dyDescent="0.3">
      <c r="A86" s="19" t="s">
        <v>5316</v>
      </c>
      <c r="B86" s="19" t="s">
        <v>7584</v>
      </c>
      <c r="C86" s="19" t="s">
        <v>5065</v>
      </c>
      <c r="D86" s="19" t="s">
        <v>4980</v>
      </c>
      <c r="E86" s="19" t="s">
        <v>6602</v>
      </c>
      <c r="F86" s="19" t="s">
        <v>6731</v>
      </c>
      <c r="G86" s="19" t="s">
        <v>5726</v>
      </c>
      <c r="H86" s="19"/>
      <c r="I86" s="19"/>
      <c r="J86" s="19"/>
      <c r="K86" s="19"/>
      <c r="L86" s="19"/>
    </row>
    <row r="87" spans="1:12" s="10" customFormat="1" x14ac:dyDescent="0.3">
      <c r="A87" s="10" t="s">
        <v>2884</v>
      </c>
      <c r="B87" s="10" t="s">
        <v>1499</v>
      </c>
      <c r="C87" s="10" t="s">
        <v>7432</v>
      </c>
      <c r="D87" s="10" t="s">
        <v>5161</v>
      </c>
      <c r="E87" s="34" t="s">
        <v>6731</v>
      </c>
      <c r="F87" s="10" t="s">
        <v>3458</v>
      </c>
      <c r="K87" s="19"/>
      <c r="L87" s="19"/>
    </row>
    <row r="88" spans="1:12" s="10" customFormat="1" x14ac:dyDescent="0.3">
      <c r="A88" s="19" t="s">
        <v>5338</v>
      </c>
      <c r="B88" s="22" t="s">
        <v>6781</v>
      </c>
      <c r="C88" s="19" t="s">
        <v>4765</v>
      </c>
      <c r="D88" s="19" t="s">
        <v>3813</v>
      </c>
      <c r="E88" s="19" t="s">
        <v>6994</v>
      </c>
      <c r="F88" s="19" t="s">
        <v>458</v>
      </c>
      <c r="G88" s="19" t="s">
        <v>1029</v>
      </c>
      <c r="H88" s="19" t="s">
        <v>3116</v>
      </c>
      <c r="I88" s="19"/>
      <c r="J88" s="19"/>
      <c r="K88" s="19"/>
      <c r="L88" s="19"/>
    </row>
    <row r="89" spans="1:12" s="10" customFormat="1" x14ac:dyDescent="0.3">
      <c r="A89" s="19" t="s">
        <v>5344</v>
      </c>
      <c r="B89" s="19" t="s">
        <v>5161</v>
      </c>
      <c r="C89" s="22" t="s">
        <v>7617</v>
      </c>
      <c r="D89" s="22" t="s">
        <v>6572</v>
      </c>
      <c r="E89" s="19" t="s">
        <v>6731</v>
      </c>
      <c r="F89" s="19" t="s">
        <v>2884</v>
      </c>
      <c r="G89" s="19" t="s">
        <v>1499</v>
      </c>
      <c r="H89" s="19" t="s">
        <v>6602</v>
      </c>
      <c r="I89" s="19"/>
      <c r="J89" s="19"/>
      <c r="K89" s="19"/>
      <c r="L89" s="19"/>
    </row>
    <row r="90" spans="1:12" s="10" customFormat="1" x14ac:dyDescent="0.3">
      <c r="A90" s="19" t="s">
        <v>4082</v>
      </c>
      <c r="B90" s="19" t="s">
        <v>4357</v>
      </c>
      <c r="C90" s="19" t="s">
        <v>5643</v>
      </c>
      <c r="D90" s="19" t="s">
        <v>3982</v>
      </c>
      <c r="E90" s="19" t="s">
        <v>3753</v>
      </c>
      <c r="F90" s="19" t="s">
        <v>4129</v>
      </c>
      <c r="G90" s="19" t="s">
        <v>2169</v>
      </c>
      <c r="H90" s="19" t="s">
        <v>6368</v>
      </c>
      <c r="I90" s="19" t="s">
        <v>9462</v>
      </c>
      <c r="J90" s="19"/>
    </row>
    <row r="91" spans="1:12" s="10" customFormat="1" x14ac:dyDescent="0.35">
      <c r="A91" s="19" t="s">
        <v>607</v>
      </c>
      <c r="B91" s="19" t="s">
        <v>638</v>
      </c>
      <c r="C91" s="19" t="s">
        <v>1973</v>
      </c>
      <c r="D91" s="19" t="s">
        <v>4065</v>
      </c>
      <c r="E91" s="19" t="s">
        <v>6289</v>
      </c>
      <c r="F91" s="19" t="s">
        <v>3897</v>
      </c>
      <c r="G91" s="19" t="s">
        <v>695</v>
      </c>
      <c r="H91" s="24" t="s">
        <v>839</v>
      </c>
      <c r="J91" s="19"/>
      <c r="K91" s="19"/>
      <c r="L91" s="19"/>
    </row>
    <row r="92" spans="1:12" s="10" customFormat="1" x14ac:dyDescent="0.3">
      <c r="A92" s="10" t="s">
        <v>2783</v>
      </c>
      <c r="B92" s="10" t="s">
        <v>2762</v>
      </c>
      <c r="C92" s="35" t="s">
        <v>1678</v>
      </c>
      <c r="D92" s="35" t="s">
        <v>5348</v>
      </c>
      <c r="E92" s="10" t="s">
        <v>5326</v>
      </c>
      <c r="F92" s="10" t="s">
        <v>5071</v>
      </c>
      <c r="G92" s="10" t="s">
        <v>9654</v>
      </c>
      <c r="H92" s="10" t="s">
        <v>2768</v>
      </c>
      <c r="I92" s="35" t="s">
        <v>7643</v>
      </c>
      <c r="K92" s="19"/>
      <c r="L92" s="19"/>
    </row>
    <row r="93" spans="1:12" s="10" customFormat="1" x14ac:dyDescent="0.3">
      <c r="A93" s="19" t="s">
        <v>5348</v>
      </c>
      <c r="B93" s="19" t="s">
        <v>2762</v>
      </c>
      <c r="C93" s="19" t="s">
        <v>2783</v>
      </c>
      <c r="D93" s="19" t="s">
        <v>1678</v>
      </c>
      <c r="E93" s="19" t="s">
        <v>7643</v>
      </c>
      <c r="F93" s="19" t="s">
        <v>5326</v>
      </c>
      <c r="G93" s="19" t="s">
        <v>5071</v>
      </c>
      <c r="H93" s="19"/>
      <c r="I93" s="19"/>
      <c r="J93" s="19"/>
    </row>
    <row r="94" spans="1:12" s="10" customFormat="1" x14ac:dyDescent="0.3">
      <c r="A94" s="19" t="s">
        <v>5356</v>
      </c>
      <c r="B94" s="19" t="s">
        <v>34</v>
      </c>
      <c r="C94" s="22" t="s">
        <v>6958</v>
      </c>
      <c r="D94" s="19" t="s">
        <v>6373</v>
      </c>
      <c r="E94" s="19" t="s">
        <v>4626</v>
      </c>
      <c r="F94" s="19" t="s">
        <v>7501</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5364</v>
      </c>
      <c r="B96" s="19" t="s">
        <v>34</v>
      </c>
      <c r="C96" s="19" t="s">
        <v>3349</v>
      </c>
      <c r="D96" s="34" t="s">
        <v>3381</v>
      </c>
      <c r="E96" s="19" t="s">
        <v>5259</v>
      </c>
      <c r="F96" s="19" t="s">
        <v>1669</v>
      </c>
      <c r="G96" s="19" t="s">
        <v>1661</v>
      </c>
      <c r="H96" s="19" t="s">
        <v>6277</v>
      </c>
      <c r="I96" s="19"/>
      <c r="J96" s="19"/>
    </row>
    <row r="97" spans="1:12" s="10" customFormat="1" x14ac:dyDescent="0.3">
      <c r="A97" s="19" t="s">
        <v>4098</v>
      </c>
      <c r="B97" s="22" t="s">
        <v>4153</v>
      </c>
      <c r="C97" s="22" t="s">
        <v>4065</v>
      </c>
      <c r="D97" s="19" t="s">
        <v>6389</v>
      </c>
      <c r="E97" s="19" t="s">
        <v>2119</v>
      </c>
      <c r="F97" s="19" t="s">
        <v>2139</v>
      </c>
      <c r="G97" s="19"/>
      <c r="H97" s="19"/>
      <c r="I97" s="19"/>
      <c r="J97" s="19"/>
      <c r="K97" s="19"/>
      <c r="L97" s="19"/>
    </row>
    <row r="98" spans="1:12" s="10" customFormat="1" x14ac:dyDescent="0.3">
      <c r="A98" s="19" t="s">
        <v>5372</v>
      </c>
      <c r="B98" s="22" t="s">
        <v>2636</v>
      </c>
      <c r="C98" s="22" t="s">
        <v>4065</v>
      </c>
      <c r="D98" s="19" t="s">
        <v>6389</v>
      </c>
      <c r="E98" s="22" t="s">
        <v>2139</v>
      </c>
      <c r="F98" s="19" t="s">
        <v>5504</v>
      </c>
      <c r="G98" s="19" t="s">
        <v>6398</v>
      </c>
      <c r="H98" s="19" t="s">
        <v>6432</v>
      </c>
      <c r="I98" s="19"/>
      <c r="J98" s="19"/>
      <c r="K98" s="19"/>
      <c r="L98" s="19"/>
    </row>
    <row r="99" spans="1:12" s="10" customFormat="1" x14ac:dyDescent="0.3">
      <c r="A99" s="10" t="s">
        <v>1880</v>
      </c>
      <c r="B99" s="10" t="s">
        <v>1842</v>
      </c>
      <c r="C99" s="10" t="s">
        <v>2313</v>
      </c>
      <c r="D99" s="10" t="s">
        <v>6914</v>
      </c>
    </row>
    <row r="100" spans="1:12" s="10" customFormat="1" x14ac:dyDescent="0.3">
      <c r="A100" s="19" t="s">
        <v>5380</v>
      </c>
      <c r="B100" s="19" t="s">
        <v>4106</v>
      </c>
      <c r="C100" s="19" t="s">
        <v>6475</v>
      </c>
      <c r="D100" s="19" t="s">
        <v>4129</v>
      </c>
      <c r="E100" s="19" t="s">
        <v>2292</v>
      </c>
      <c r="F100" s="19" t="s">
        <v>6368</v>
      </c>
      <c r="G100" s="19"/>
      <c r="H100" s="19"/>
      <c r="I100" s="19"/>
      <c r="J100" s="19"/>
      <c r="K100" s="19"/>
      <c r="L100" s="19"/>
    </row>
    <row r="101" spans="1:12" s="10" customFormat="1" x14ac:dyDescent="0.3">
      <c r="A101" s="19" t="s">
        <v>4106</v>
      </c>
      <c r="B101" s="19" t="s">
        <v>5380</v>
      </c>
      <c r="C101" s="19" t="s">
        <v>6475</v>
      </c>
      <c r="D101" s="19" t="s">
        <v>4129</v>
      </c>
      <c r="E101" s="19" t="s">
        <v>6368</v>
      </c>
      <c r="F101" s="19"/>
      <c r="G101" s="19"/>
      <c r="H101" s="19"/>
      <c r="I101" s="19"/>
      <c r="J101" s="19"/>
    </row>
    <row r="102" spans="1:12" s="10" customFormat="1" x14ac:dyDescent="0.3">
      <c r="A102" s="10" t="s">
        <v>2726</v>
      </c>
      <c r="B102" s="10" t="s">
        <v>9448</v>
      </c>
      <c r="C102" s="10" t="s">
        <v>1406</v>
      </c>
      <c r="D102" s="34" t="s">
        <v>1372</v>
      </c>
      <c r="E102" s="20" t="s">
        <v>1376</v>
      </c>
      <c r="F102" s="10" t="s">
        <v>7014</v>
      </c>
    </row>
    <row r="103" spans="1:12" s="10" customFormat="1" x14ac:dyDescent="0.3">
      <c r="A103" s="19" t="s">
        <v>2241</v>
      </c>
      <c r="B103" s="22" t="s">
        <v>458</v>
      </c>
      <c r="C103" s="22" t="s">
        <v>2726</v>
      </c>
      <c r="D103" s="22" t="s">
        <v>9448</v>
      </c>
      <c r="E103" s="22" t="s">
        <v>1406</v>
      </c>
      <c r="F103" s="19" t="s">
        <v>6351</v>
      </c>
      <c r="G103" s="34" t="s">
        <v>1372</v>
      </c>
      <c r="H103" s="34" t="s">
        <v>1376</v>
      </c>
      <c r="I103" s="19"/>
      <c r="J103" s="19"/>
      <c r="K103" s="19"/>
      <c r="L103" s="19"/>
    </row>
    <row r="104" spans="1:12" s="10" customFormat="1" x14ac:dyDescent="0.3">
      <c r="A104" s="25" t="s">
        <v>9575</v>
      </c>
      <c r="B104" s="26" t="s">
        <v>6175</v>
      </c>
      <c r="C104" s="26" t="s">
        <v>324</v>
      </c>
      <c r="D104" s="26" t="s">
        <v>535</v>
      </c>
      <c r="E104" s="26" t="s">
        <v>1042</v>
      </c>
      <c r="F104" s="26" t="s">
        <v>6712</v>
      </c>
      <c r="G104" s="26"/>
      <c r="H104" s="26"/>
      <c r="I104" s="26"/>
      <c r="J104" s="26"/>
      <c r="K104" s="19"/>
      <c r="L104" s="19"/>
    </row>
    <row r="105" spans="1:12" s="10" customFormat="1" x14ac:dyDescent="0.3">
      <c r="A105" s="19" t="s">
        <v>3381</v>
      </c>
      <c r="B105" s="22" t="s">
        <v>34</v>
      </c>
      <c r="C105" s="19" t="s">
        <v>5364</v>
      </c>
      <c r="D105" s="19" t="s">
        <v>278</v>
      </c>
      <c r="E105" s="19" t="s">
        <v>4245</v>
      </c>
      <c r="F105" s="19" t="s">
        <v>1175</v>
      </c>
      <c r="G105" s="19" t="s">
        <v>1180</v>
      </c>
      <c r="H105" s="19" t="s">
        <v>3966</v>
      </c>
      <c r="I105" s="19" t="s">
        <v>6985</v>
      </c>
      <c r="J105" s="19"/>
    </row>
    <row r="106" spans="1:12" s="10" customFormat="1" x14ac:dyDescent="0.3">
      <c r="A106" s="10" t="s">
        <v>3257</v>
      </c>
      <c r="B106" s="34" t="s">
        <v>2139</v>
      </c>
      <c r="C106" s="34" t="s">
        <v>1568</v>
      </c>
      <c r="D106" s="10" t="s">
        <v>2129</v>
      </c>
      <c r="E106" s="10" t="s">
        <v>6922</v>
      </c>
      <c r="F106" s="10" t="s">
        <v>3705</v>
      </c>
      <c r="G106" s="10" t="s">
        <v>9717</v>
      </c>
    </row>
    <row r="107" spans="1:12" s="10" customFormat="1" x14ac:dyDescent="0.3">
      <c r="A107" s="19" t="s">
        <v>1209</v>
      </c>
      <c r="B107" s="19" t="s">
        <v>6216</v>
      </c>
      <c r="C107" s="19" t="s">
        <v>1678</v>
      </c>
      <c r="D107" s="19" t="s">
        <v>1175</v>
      </c>
      <c r="E107" s="19" t="s">
        <v>3548</v>
      </c>
      <c r="F107" s="19"/>
      <c r="G107" s="19"/>
      <c r="H107" s="19"/>
      <c r="I107" s="19"/>
      <c r="J107" s="19"/>
    </row>
    <row r="108" spans="1:12" s="10" customFormat="1" x14ac:dyDescent="0.3">
      <c r="A108" s="19" t="s">
        <v>4114</v>
      </c>
      <c r="B108" s="19" t="s">
        <v>5643</v>
      </c>
      <c r="C108" s="22" t="s">
        <v>5855</v>
      </c>
      <c r="D108" s="19" t="s">
        <v>3982</v>
      </c>
      <c r="E108" s="19" t="s">
        <v>3753</v>
      </c>
      <c r="F108" s="19" t="s">
        <v>4129</v>
      </c>
      <c r="G108" s="19" t="s">
        <v>6368</v>
      </c>
      <c r="H108" s="19" t="s">
        <v>9462</v>
      </c>
      <c r="I108" s="19"/>
      <c r="J108" s="19"/>
      <c r="K108" s="19"/>
      <c r="L108" s="19"/>
    </row>
    <row r="109" spans="1:12" s="10" customFormat="1" x14ac:dyDescent="0.3">
      <c r="A109" s="10" t="s">
        <v>2893</v>
      </c>
      <c r="B109" s="10" t="s">
        <v>1617</v>
      </c>
      <c r="C109" s="10" t="s">
        <v>1678</v>
      </c>
      <c r="D109" s="10" t="s">
        <v>6731</v>
      </c>
      <c r="E109" s="10" t="s">
        <v>5407</v>
      </c>
      <c r="F109" s="10" t="s">
        <v>3458</v>
      </c>
      <c r="K109" s="19"/>
      <c r="L109" s="19"/>
    </row>
    <row r="110" spans="1:12" s="10" customFormat="1" x14ac:dyDescent="0.3">
      <c r="A110" s="19" t="s">
        <v>5388</v>
      </c>
      <c r="B110" s="22" t="s">
        <v>4290</v>
      </c>
      <c r="C110" s="22" t="s">
        <v>6792</v>
      </c>
      <c r="D110" s="22" t="s">
        <v>34</v>
      </c>
      <c r="E110" s="22" t="s">
        <v>3339</v>
      </c>
      <c r="F110" s="19" t="s">
        <v>6898</v>
      </c>
      <c r="G110" s="19" t="s">
        <v>3369</v>
      </c>
      <c r="H110" s="19" t="s">
        <v>2178</v>
      </c>
      <c r="I110" s="19" t="s">
        <v>3373</v>
      </c>
      <c r="J110" s="19" t="s">
        <v>3349</v>
      </c>
      <c r="K110" s="19"/>
      <c r="L110" s="19"/>
    </row>
    <row r="111" spans="1:12" s="10" customFormat="1" x14ac:dyDescent="0.3">
      <c r="A111" s="19" t="s">
        <v>3532</v>
      </c>
      <c r="B111" s="10" t="s">
        <v>4956</v>
      </c>
      <c r="C111" s="10" t="s">
        <v>7033</v>
      </c>
      <c r="D111" s="10" t="s">
        <v>6715</v>
      </c>
      <c r="E111" s="10" t="s">
        <v>6966</v>
      </c>
      <c r="F111" s="10" t="s">
        <v>4450</v>
      </c>
      <c r="G111" s="10" t="s">
        <v>7381</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5396</v>
      </c>
      <c r="B113" s="19" t="s">
        <v>458</v>
      </c>
      <c r="C113" s="19" t="s">
        <v>6692</v>
      </c>
      <c r="D113" s="19"/>
      <c r="E113" s="19"/>
      <c r="F113" s="19"/>
      <c r="G113" s="19"/>
      <c r="H113" s="19"/>
      <c r="I113" s="19"/>
      <c r="J113" s="19"/>
    </row>
    <row r="114" spans="1:12" s="10" customFormat="1" x14ac:dyDescent="0.3">
      <c r="A114" s="19" t="s">
        <v>5401</v>
      </c>
      <c r="B114" s="19" t="s">
        <v>1175</v>
      </c>
      <c r="C114" s="19" t="s">
        <v>1585</v>
      </c>
      <c r="D114" s="19" t="s">
        <v>4326</v>
      </c>
      <c r="E114" s="19" t="s">
        <v>3308</v>
      </c>
      <c r="F114" s="19" t="s">
        <v>4278</v>
      </c>
      <c r="G114" s="19" t="s">
        <v>278</v>
      </c>
      <c r="H114" s="19" t="s">
        <v>2233</v>
      </c>
      <c r="I114" s="19" t="s">
        <v>6322</v>
      </c>
      <c r="J114" s="19"/>
      <c r="K114" s="19"/>
      <c r="L114" s="19"/>
    </row>
    <row r="115" spans="1:12" s="10" customFormat="1" x14ac:dyDescent="0.3">
      <c r="A115" s="10" t="s">
        <v>4121</v>
      </c>
      <c r="B115" s="10" t="s">
        <v>5912</v>
      </c>
      <c r="C115" s="10" t="s">
        <v>6824</v>
      </c>
      <c r="D115" s="34" t="s">
        <v>6364</v>
      </c>
    </row>
    <row r="116" spans="1:12" s="10" customFormat="1" x14ac:dyDescent="0.3">
      <c r="A116" s="19" t="s">
        <v>3536</v>
      </c>
      <c r="B116" s="10" t="s">
        <v>9588</v>
      </c>
      <c r="C116" s="10" t="s">
        <v>9614</v>
      </c>
      <c r="D116" s="34" t="s">
        <v>2407</v>
      </c>
      <c r="K116" s="19"/>
      <c r="L116" s="19"/>
    </row>
    <row r="117" spans="1:12" s="10" customFormat="1" x14ac:dyDescent="0.3">
      <c r="A117" s="19" t="s">
        <v>3543</v>
      </c>
      <c r="B117" s="10" t="s">
        <v>3784</v>
      </c>
      <c r="C117" s="10" t="s">
        <v>3886</v>
      </c>
      <c r="D117" s="10" t="s">
        <v>7003</v>
      </c>
      <c r="E117" s="10" t="s">
        <v>3458</v>
      </c>
      <c r="F117" s="10" t="s">
        <v>6914</v>
      </c>
      <c r="G117" s="10" t="s">
        <v>3548</v>
      </c>
      <c r="H117" s="10" t="s">
        <v>3973</v>
      </c>
      <c r="I117" s="10" t="s">
        <v>880</v>
      </c>
      <c r="K117" s="19"/>
      <c r="L117" s="19"/>
    </row>
    <row r="118" spans="1:12" s="10" customFormat="1" x14ac:dyDescent="0.3">
      <c r="A118" s="19" t="s">
        <v>5407</v>
      </c>
      <c r="B118" s="19" t="s">
        <v>6067</v>
      </c>
      <c r="C118" s="19" t="s">
        <v>2862</v>
      </c>
      <c r="D118" s="19" t="s">
        <v>2852</v>
      </c>
      <c r="E118" s="19" t="s">
        <v>6602</v>
      </c>
      <c r="F118" s="19"/>
      <c r="G118" s="19"/>
      <c r="H118" s="19"/>
      <c r="I118" s="19"/>
      <c r="J118" s="19"/>
    </row>
    <row r="119" spans="1:12" s="10" customFormat="1" x14ac:dyDescent="0.3">
      <c r="A119" s="19" t="s">
        <v>5413</v>
      </c>
      <c r="B119" s="19" t="s">
        <v>2811</v>
      </c>
      <c r="C119" s="22" t="s">
        <v>5575</v>
      </c>
      <c r="D119" s="22" t="s">
        <v>4387</v>
      </c>
      <c r="E119" s="22" t="s">
        <v>3308</v>
      </c>
      <c r="F119" s="19" t="s">
        <v>5847</v>
      </c>
      <c r="G119" s="19"/>
      <c r="H119" s="19"/>
      <c r="I119" s="19"/>
      <c r="J119" s="19"/>
      <c r="K119" s="19"/>
      <c r="L119" s="19"/>
    </row>
    <row r="120" spans="1:12" s="10" customFormat="1" x14ac:dyDescent="0.3">
      <c r="A120" s="19" t="s">
        <v>4129</v>
      </c>
      <c r="B120" s="19" t="s">
        <v>4369</v>
      </c>
      <c r="C120" s="19" t="s">
        <v>6368</v>
      </c>
      <c r="D120" s="19" t="s">
        <v>2292</v>
      </c>
      <c r="E120" s="19" t="s">
        <v>2156</v>
      </c>
      <c r="F120" s="34" t="s">
        <v>7594</v>
      </c>
      <c r="G120" s="19" t="s">
        <v>5380</v>
      </c>
      <c r="H120" s="19" t="s">
        <v>4106</v>
      </c>
      <c r="I120" s="19"/>
      <c r="J120" s="19"/>
    </row>
    <row r="121" spans="1:12" s="10" customFormat="1" x14ac:dyDescent="0.3">
      <c r="A121" s="19" t="s">
        <v>5421</v>
      </c>
      <c r="B121" s="19" t="s">
        <v>6216</v>
      </c>
      <c r="C121" s="19" t="s">
        <v>733</v>
      </c>
      <c r="D121" s="19" t="s">
        <v>5705</v>
      </c>
      <c r="E121" s="19" t="s">
        <v>4278</v>
      </c>
      <c r="F121" s="19" t="s">
        <v>9480</v>
      </c>
      <c r="G121" s="19"/>
      <c r="H121" s="19"/>
      <c r="I121" s="19"/>
      <c r="J121" s="19"/>
      <c r="K121" s="19"/>
      <c r="L121" s="19"/>
    </row>
    <row r="122" spans="1:12" s="10" customFormat="1" x14ac:dyDescent="0.3">
      <c r="A122" s="19" t="s">
        <v>5429</v>
      </c>
      <c r="B122" s="22" t="s">
        <v>4645</v>
      </c>
      <c r="C122" s="19" t="s">
        <v>2820</v>
      </c>
      <c r="D122" s="19" t="s">
        <v>9507</v>
      </c>
      <c r="E122" s="19" t="s">
        <v>2800</v>
      </c>
      <c r="F122" s="19" t="s">
        <v>1665</v>
      </c>
      <c r="G122" s="19" t="s">
        <v>9483</v>
      </c>
      <c r="H122" s="19"/>
      <c r="I122" s="19"/>
      <c r="J122" s="19"/>
      <c r="K122" s="19"/>
      <c r="L122" s="19"/>
    </row>
    <row r="123" spans="1:12" s="10" customFormat="1" x14ac:dyDescent="0.3">
      <c r="A123" s="10" t="s">
        <v>4137</v>
      </c>
      <c r="B123" s="34" t="s">
        <v>415</v>
      </c>
      <c r="C123" s="34" t="s">
        <v>6216</v>
      </c>
      <c r="D123" s="34" t="s">
        <v>5705</v>
      </c>
      <c r="K123" s="19"/>
      <c r="L123" s="19"/>
    </row>
    <row r="124" spans="1:12" s="10" customFormat="1" x14ac:dyDescent="0.3">
      <c r="A124" s="19" t="s">
        <v>5437</v>
      </c>
      <c r="B124" s="19" t="s">
        <v>5105</v>
      </c>
      <c r="C124" s="19" t="s">
        <v>473</v>
      </c>
      <c r="D124" s="19" t="s">
        <v>702</v>
      </c>
      <c r="E124" s="19" t="s">
        <v>6914</v>
      </c>
      <c r="F124" s="19" t="s">
        <v>1055</v>
      </c>
      <c r="G124" s="19" t="s">
        <v>7623</v>
      </c>
      <c r="H124" s="19"/>
      <c r="I124" s="19"/>
      <c r="J124" s="19"/>
      <c r="K124" s="19"/>
      <c r="L124" s="19"/>
    </row>
    <row r="125" spans="1:12" s="10" customFormat="1" x14ac:dyDescent="0.3">
      <c r="A125" s="10" t="s">
        <v>1758</v>
      </c>
      <c r="B125" s="10" t="s">
        <v>1736</v>
      </c>
      <c r="C125" s="10" t="s">
        <v>324</v>
      </c>
      <c r="D125" s="10" t="s">
        <v>1051</v>
      </c>
      <c r="E125" s="10" t="s">
        <v>1073</v>
      </c>
      <c r="F125" s="10" t="s">
        <v>9614</v>
      </c>
      <c r="K125" s="19"/>
      <c r="L125" s="19"/>
    </row>
    <row r="126" spans="1:12" s="10" customFormat="1" x14ac:dyDescent="0.3">
      <c r="A126" s="19" t="s">
        <v>1094</v>
      </c>
      <c r="B126" s="19" t="s">
        <v>7617</v>
      </c>
      <c r="C126" s="19" t="s">
        <v>1029</v>
      </c>
      <c r="D126" s="19" t="s">
        <v>932</v>
      </c>
      <c r="E126" s="22" t="s">
        <v>2390</v>
      </c>
      <c r="F126" s="19" t="s">
        <v>5599</v>
      </c>
      <c r="G126" s="19"/>
      <c r="H126" s="19"/>
      <c r="I126" s="19"/>
      <c r="J126" s="19"/>
    </row>
    <row r="127" spans="1:12" s="10" customFormat="1" x14ac:dyDescent="0.3">
      <c r="A127" s="19" t="s">
        <v>5445</v>
      </c>
      <c r="B127" s="19" t="s">
        <v>4738</v>
      </c>
      <c r="C127" s="19" t="s">
        <v>4583</v>
      </c>
      <c r="D127" s="19" t="s">
        <v>4824</v>
      </c>
      <c r="E127" s="19" t="s">
        <v>3369</v>
      </c>
      <c r="F127" s="19"/>
      <c r="G127" s="19"/>
      <c r="H127" s="19"/>
      <c r="I127" s="19"/>
      <c r="J127" s="19"/>
    </row>
    <row r="128" spans="1:12" s="10" customFormat="1" x14ac:dyDescent="0.3">
      <c r="A128" s="10" t="s">
        <v>1051</v>
      </c>
      <c r="B128" s="20" t="s">
        <v>7594</v>
      </c>
      <c r="C128" s="10" t="s">
        <v>1029</v>
      </c>
      <c r="D128" s="10" t="s">
        <v>324</v>
      </c>
      <c r="E128" s="10" t="s">
        <v>6914</v>
      </c>
      <c r="F128" s="10" t="s">
        <v>1055</v>
      </c>
      <c r="G128" s="10" t="s">
        <v>23</v>
      </c>
    </row>
    <row r="129" spans="1:12" s="10" customFormat="1" x14ac:dyDescent="0.3">
      <c r="A129" s="19" t="s">
        <v>4145</v>
      </c>
      <c r="B129" s="19" t="s">
        <v>4600</v>
      </c>
      <c r="C129" s="19" t="s">
        <v>1665</v>
      </c>
      <c r="D129" s="19" t="s">
        <v>5267</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6914</v>
      </c>
      <c r="G130" s="10" t="s">
        <v>713</v>
      </c>
      <c r="K130" s="19"/>
      <c r="L130" s="19"/>
    </row>
    <row r="131" spans="1:12" s="10" customFormat="1" x14ac:dyDescent="0.3">
      <c r="A131" s="19" t="s">
        <v>4153</v>
      </c>
      <c r="B131" s="19" t="s">
        <v>4098</v>
      </c>
      <c r="C131" s="19" t="s">
        <v>2636</v>
      </c>
      <c r="D131" s="19" t="s">
        <v>5876</v>
      </c>
      <c r="E131" s="19" t="s">
        <v>473</v>
      </c>
      <c r="F131" s="19"/>
      <c r="G131" s="19"/>
      <c r="H131" s="19"/>
      <c r="I131" s="19"/>
      <c r="J131" s="19"/>
      <c r="K131" s="19"/>
      <c r="L131" s="19"/>
    </row>
    <row r="132" spans="1:12" s="10" customFormat="1" x14ac:dyDescent="0.3">
      <c r="A132" s="19" t="s">
        <v>5450</v>
      </c>
      <c r="B132" s="19" t="s">
        <v>2811</v>
      </c>
      <c r="C132" s="22" t="s">
        <v>2820</v>
      </c>
      <c r="D132" s="22" t="s">
        <v>2800</v>
      </c>
      <c r="E132" s="19" t="s">
        <v>2804</v>
      </c>
      <c r="F132" s="19" t="s">
        <v>1842</v>
      </c>
      <c r="G132" s="19"/>
      <c r="H132" s="19"/>
      <c r="I132" s="19"/>
      <c r="J132" s="19"/>
      <c r="K132" s="19"/>
      <c r="L132" s="19"/>
    </row>
    <row r="133" spans="1:12" s="10" customFormat="1" x14ac:dyDescent="0.3">
      <c r="A133" s="19" t="s">
        <v>5458</v>
      </c>
      <c r="B133" s="19" t="s">
        <v>4420</v>
      </c>
      <c r="C133" s="19" t="s">
        <v>2115</v>
      </c>
      <c r="D133" s="19" t="s">
        <v>9711</v>
      </c>
      <c r="E133" s="19"/>
      <c r="F133" s="19"/>
      <c r="G133" s="19"/>
      <c r="H133" s="19"/>
      <c r="I133" s="19"/>
      <c r="J133" s="19"/>
      <c r="K133" s="19"/>
      <c r="L133" s="19"/>
    </row>
    <row r="134" spans="1:12" s="10" customFormat="1" x14ac:dyDescent="0.3">
      <c r="A134" s="19" t="s">
        <v>9631</v>
      </c>
      <c r="B134" s="19" t="s">
        <v>6216</v>
      </c>
      <c r="C134" s="19" t="s">
        <v>5905</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7617</v>
      </c>
      <c r="C135" s="19" t="s">
        <v>1568</v>
      </c>
      <c r="D135" s="19" t="s">
        <v>3414</v>
      </c>
      <c r="E135" s="19" t="s">
        <v>5224</v>
      </c>
      <c r="F135" s="19" t="s">
        <v>9448</v>
      </c>
      <c r="G135" s="19" t="s">
        <v>2329</v>
      </c>
      <c r="H135" s="19" t="s">
        <v>3924</v>
      </c>
      <c r="I135" s="19" t="s">
        <v>2280</v>
      </c>
      <c r="J135" s="19" t="s">
        <v>2732</v>
      </c>
      <c r="K135" s="19"/>
      <c r="L135" s="19"/>
    </row>
    <row r="136" spans="1:12" s="10" customFormat="1" x14ac:dyDescent="0.3">
      <c r="A136" s="10" t="s">
        <v>5462</v>
      </c>
      <c r="B136" s="10" t="s">
        <v>6572</v>
      </c>
      <c r="C136" s="10" t="s">
        <v>3287</v>
      </c>
      <c r="D136" s="10" t="s">
        <v>4626</v>
      </c>
      <c r="K136" s="19"/>
      <c r="L136" s="19"/>
    </row>
    <row r="137" spans="1:12" s="10" customFormat="1" x14ac:dyDescent="0.3">
      <c r="A137" s="10" t="s">
        <v>2800</v>
      </c>
      <c r="B137" s="10" t="s">
        <v>2811</v>
      </c>
      <c r="C137" s="34" t="s">
        <v>2820</v>
      </c>
      <c r="D137" s="10" t="s">
        <v>9507</v>
      </c>
      <c r="E137" s="10" t="s">
        <v>9400</v>
      </c>
      <c r="F137" s="10" t="s">
        <v>5450</v>
      </c>
      <c r="G137" s="10" t="s">
        <v>1842</v>
      </c>
      <c r="K137" s="19"/>
      <c r="L137" s="19"/>
    </row>
    <row r="138" spans="1:12" s="10" customFormat="1" x14ac:dyDescent="0.3">
      <c r="A138" s="10" t="s">
        <v>2124</v>
      </c>
      <c r="B138" s="34" t="s">
        <v>7594</v>
      </c>
      <c r="C138" s="10" t="s">
        <v>1021</v>
      </c>
      <c r="D138" s="10" t="s">
        <v>1025</v>
      </c>
      <c r="E138" s="10" t="s">
        <v>2148</v>
      </c>
      <c r="F138" s="10" t="s">
        <v>2119</v>
      </c>
      <c r="G138" s="10" t="s">
        <v>2115</v>
      </c>
      <c r="K138" s="19"/>
      <c r="L138" s="19"/>
    </row>
    <row r="139" spans="1:12" s="10" customFormat="1" x14ac:dyDescent="0.3">
      <c r="A139" s="19" t="s">
        <v>5466</v>
      </c>
      <c r="B139" s="19" t="s">
        <v>7198</v>
      </c>
      <c r="C139" s="19" t="s">
        <v>6884</v>
      </c>
      <c r="D139" s="19" t="s">
        <v>34</v>
      </c>
      <c r="E139" s="19" t="s">
        <v>828</v>
      </c>
      <c r="F139" s="19"/>
      <c r="G139" s="19"/>
      <c r="H139" s="19"/>
      <c r="I139" s="19"/>
      <c r="J139" s="19"/>
      <c r="K139" s="19"/>
      <c r="L139" s="19"/>
    </row>
    <row r="140" spans="1:12" s="10" customFormat="1" x14ac:dyDescent="0.3">
      <c r="A140" s="19" t="s">
        <v>5474</v>
      </c>
      <c r="B140" s="19" t="s">
        <v>2825</v>
      </c>
      <c r="C140" s="19" t="s">
        <v>5575</v>
      </c>
      <c r="D140" s="22"/>
      <c r="E140" s="19"/>
      <c r="F140" s="19"/>
      <c r="G140" s="19"/>
      <c r="H140" s="19"/>
      <c r="I140" s="19"/>
      <c r="J140" s="19"/>
      <c r="K140" s="19"/>
      <c r="L140" s="19"/>
    </row>
    <row r="141" spans="1:12" s="10" customFormat="1" x14ac:dyDescent="0.3">
      <c r="A141" s="19" t="s">
        <v>4168</v>
      </c>
      <c r="B141" s="19" t="s">
        <v>6560</v>
      </c>
      <c r="C141" s="34" t="s">
        <v>3977</v>
      </c>
      <c r="D141" s="19" t="s">
        <v>5259</v>
      </c>
      <c r="E141" s="19"/>
      <c r="F141" s="19"/>
      <c r="G141" s="19"/>
      <c r="H141" s="19"/>
      <c r="I141" s="19"/>
      <c r="J141" s="19"/>
      <c r="K141" s="19"/>
      <c r="L141" s="19"/>
    </row>
    <row r="142" spans="1:12" s="10" customFormat="1" x14ac:dyDescent="0.3">
      <c r="A142" s="19" t="s">
        <v>5482</v>
      </c>
      <c r="B142" s="19" t="s">
        <v>6035</v>
      </c>
      <c r="C142" s="19" t="s">
        <v>4857</v>
      </c>
      <c r="D142" s="19" t="s">
        <v>6075</v>
      </c>
      <c r="E142" s="19" t="s">
        <v>6876</v>
      </c>
      <c r="F142" s="19" t="s">
        <v>6560</v>
      </c>
      <c r="G142" s="19" t="s">
        <v>6483</v>
      </c>
      <c r="H142" s="19" t="s">
        <v>6614</v>
      </c>
      <c r="I142" s="19"/>
      <c r="J142" s="19"/>
      <c r="K142" s="19"/>
      <c r="L142" s="19"/>
    </row>
    <row r="143" spans="1:12" s="10" customFormat="1" x14ac:dyDescent="0.3">
      <c r="A143" s="19" t="s">
        <v>5490</v>
      </c>
      <c r="B143" s="19" t="s">
        <v>670</v>
      </c>
      <c r="C143" s="19" t="s">
        <v>1060</v>
      </c>
      <c r="D143" s="19" t="s">
        <v>3903</v>
      </c>
      <c r="E143" s="19" t="s">
        <v>3857</v>
      </c>
      <c r="F143" s="19" t="s">
        <v>1697</v>
      </c>
      <c r="G143" s="19"/>
      <c r="H143" s="19"/>
      <c r="I143" s="19"/>
      <c r="J143" s="19"/>
      <c r="K143" s="19"/>
      <c r="L143" s="19"/>
    </row>
    <row r="144" spans="1:12" s="10" customFormat="1" x14ac:dyDescent="0.3">
      <c r="A144" s="19" t="s">
        <v>9505</v>
      </c>
      <c r="B144" s="19" t="s">
        <v>2321</v>
      </c>
      <c r="C144" s="19" t="s">
        <v>1331</v>
      </c>
      <c r="D144" s="19" t="s">
        <v>1037</v>
      </c>
      <c r="E144" s="19" t="s">
        <v>1032</v>
      </c>
      <c r="F144" s="19"/>
      <c r="G144" s="19"/>
      <c r="H144" s="19"/>
      <c r="I144" s="19"/>
      <c r="J144" s="19"/>
    </row>
    <row r="145" spans="1:12" s="10" customFormat="1" x14ac:dyDescent="0.3">
      <c r="A145" s="19" t="s">
        <v>3559</v>
      </c>
      <c r="B145" s="19" t="s">
        <v>6614</v>
      </c>
      <c r="C145" s="19" t="s">
        <v>6483</v>
      </c>
      <c r="D145" s="19"/>
      <c r="E145" s="19"/>
      <c r="F145" s="19"/>
      <c r="G145" s="19"/>
      <c r="H145" s="19"/>
      <c r="I145" s="19"/>
      <c r="J145" s="19"/>
      <c r="K145" s="19"/>
      <c r="L145" s="19"/>
    </row>
    <row r="146" spans="1:12" s="10" customFormat="1" x14ac:dyDescent="0.3">
      <c r="A146" s="19" t="s">
        <v>5496</v>
      </c>
      <c r="B146" s="22" t="s">
        <v>2811</v>
      </c>
      <c r="C146" s="19" t="s">
        <v>2800</v>
      </c>
      <c r="D146" s="22"/>
      <c r="E146" s="19"/>
      <c r="F146" s="19"/>
      <c r="G146" s="19"/>
      <c r="H146" s="19"/>
      <c r="I146" s="19"/>
      <c r="J146" s="19"/>
      <c r="K146" s="19"/>
      <c r="L146" s="19"/>
    </row>
    <row r="147" spans="1:12" s="10" customFormat="1" x14ac:dyDescent="0.3">
      <c r="A147" s="19" t="s">
        <v>5504</v>
      </c>
      <c r="B147" s="19" t="s">
        <v>6398</v>
      </c>
      <c r="C147" s="19" t="s">
        <v>6389</v>
      </c>
      <c r="D147" s="19" t="s">
        <v>5372</v>
      </c>
      <c r="E147" s="19" t="s">
        <v>6182</v>
      </c>
      <c r="F147" s="19" t="s">
        <v>6432</v>
      </c>
      <c r="G147" s="19"/>
      <c r="H147" s="19"/>
      <c r="I147" s="19"/>
      <c r="J147" s="19"/>
      <c r="K147" s="19"/>
      <c r="L147" s="19"/>
    </row>
    <row r="148" spans="1:12" s="10" customFormat="1" x14ac:dyDescent="0.3">
      <c r="A148" s="19" t="s">
        <v>2300</v>
      </c>
      <c r="B148" s="19" t="s">
        <v>2321</v>
      </c>
      <c r="C148" s="19" t="s">
        <v>4693</v>
      </c>
      <c r="D148" s="19" t="s">
        <v>1585</v>
      </c>
      <c r="E148" s="19" t="s">
        <v>6067</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6035</v>
      </c>
      <c r="D150" s="19" t="s">
        <v>5482</v>
      </c>
      <c r="E150" s="19"/>
      <c r="F150" s="19"/>
      <c r="G150" s="19"/>
      <c r="H150" s="19"/>
      <c r="I150" s="19"/>
      <c r="J150" s="19"/>
    </row>
    <row r="151" spans="1:12" s="10" customFormat="1" x14ac:dyDescent="0.3">
      <c r="A151" s="19" t="s">
        <v>2313</v>
      </c>
      <c r="B151" s="19" t="s">
        <v>2321</v>
      </c>
      <c r="C151" s="19" t="s">
        <v>1669</v>
      </c>
      <c r="D151" s="19" t="s">
        <v>5631</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5615</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7239</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9400</v>
      </c>
      <c r="E158" s="19"/>
      <c r="F158" s="19"/>
      <c r="G158" s="19"/>
      <c r="H158" s="19"/>
      <c r="I158" s="19"/>
      <c r="J158" s="19"/>
      <c r="K158" s="19"/>
      <c r="L158" s="19"/>
    </row>
    <row r="159" spans="1:12" s="10" customFormat="1" x14ac:dyDescent="0.3">
      <c r="A159" s="19" t="s">
        <v>5512</v>
      </c>
      <c r="B159" s="19" t="s">
        <v>4407</v>
      </c>
      <c r="C159" s="19" t="s">
        <v>944</v>
      </c>
      <c r="D159" s="19" t="s">
        <v>473</v>
      </c>
      <c r="E159" s="19" t="s">
        <v>3825</v>
      </c>
      <c r="F159" s="19"/>
      <c r="G159" s="19"/>
      <c r="H159" s="19"/>
      <c r="I159" s="19"/>
      <c r="J159" s="19"/>
      <c r="K159" s="19"/>
      <c r="L159" s="19"/>
    </row>
    <row r="160" spans="1:12" s="10" customFormat="1" x14ac:dyDescent="0.3">
      <c r="A160" s="19" t="s">
        <v>5520</v>
      </c>
      <c r="B160" s="10" t="s">
        <v>5779</v>
      </c>
      <c r="C160" s="34" t="s">
        <v>9410</v>
      </c>
      <c r="D160" s="10" t="s">
        <v>6067</v>
      </c>
      <c r="E160" s="10" t="s">
        <v>5713</v>
      </c>
      <c r="F160" s="10" t="s">
        <v>6404</v>
      </c>
      <c r="G160" s="10" t="s">
        <v>3865</v>
      </c>
      <c r="H160" s="10" t="s">
        <v>6709</v>
      </c>
      <c r="K160" s="19"/>
      <c r="L160" s="19"/>
    </row>
    <row r="161" spans="1:12" s="10" customFormat="1" x14ac:dyDescent="0.3">
      <c r="A161" s="19" t="s">
        <v>4172</v>
      </c>
      <c r="B161" s="19" t="s">
        <v>2732</v>
      </c>
      <c r="C161" s="19" t="s">
        <v>5224</v>
      </c>
      <c r="D161" s="19" t="s">
        <v>23</v>
      </c>
      <c r="E161" s="19" t="s">
        <v>7617</v>
      </c>
      <c r="F161" s="19" t="s">
        <v>6572</v>
      </c>
      <c r="G161" s="19" t="s">
        <v>1568</v>
      </c>
      <c r="H161" s="19" t="s">
        <v>7014</v>
      </c>
      <c r="I161" s="19" t="s">
        <v>9717</v>
      </c>
      <c r="J161" s="19"/>
      <c r="K161" s="19"/>
      <c r="L161" s="19"/>
    </row>
    <row r="162" spans="1:12" s="10" customFormat="1" x14ac:dyDescent="0.3">
      <c r="A162" s="19" t="s">
        <v>5528</v>
      </c>
      <c r="B162" s="19" t="s">
        <v>6023</v>
      </c>
      <c r="C162" s="19" t="s">
        <v>5087</v>
      </c>
      <c r="D162" s="19" t="s">
        <v>6487</v>
      </c>
      <c r="E162" s="19" t="s">
        <v>3224</v>
      </c>
      <c r="F162" s="19" t="s">
        <v>3481</v>
      </c>
      <c r="G162" s="19"/>
      <c r="H162" s="19"/>
      <c r="I162" s="19"/>
      <c r="J162" s="19"/>
    </row>
    <row r="163" spans="1:12" s="10" customFormat="1" x14ac:dyDescent="0.3">
      <c r="A163" s="19" t="s">
        <v>3224</v>
      </c>
      <c r="B163" s="19" t="s">
        <v>5528</v>
      </c>
      <c r="C163" s="19" t="s">
        <v>6023</v>
      </c>
      <c r="D163" s="19" t="s">
        <v>5087</v>
      </c>
      <c r="E163" s="19" t="s">
        <v>6487</v>
      </c>
      <c r="F163" s="19" t="s">
        <v>2333</v>
      </c>
      <c r="G163" s="19" t="s">
        <v>5288</v>
      </c>
      <c r="H163" s="19"/>
      <c r="I163" s="19"/>
      <c r="J163" s="19"/>
      <c r="K163" s="19"/>
      <c r="L163" s="19"/>
    </row>
    <row r="164" spans="1:12" s="10" customFormat="1" x14ac:dyDescent="0.3">
      <c r="A164" s="19" t="s">
        <v>960</v>
      </c>
      <c r="B164" s="19" t="s">
        <v>6412</v>
      </c>
      <c r="C164" s="19" t="s">
        <v>912</v>
      </c>
      <c r="D164" s="19" t="s">
        <v>908</v>
      </c>
      <c r="E164" s="22" t="s">
        <v>904</v>
      </c>
      <c r="F164" s="22" t="s">
        <v>880</v>
      </c>
      <c r="G164" s="19" t="s">
        <v>2156</v>
      </c>
      <c r="H164" s="19" t="s">
        <v>1454</v>
      </c>
      <c r="I164" s="19"/>
      <c r="J164" s="19"/>
      <c r="K164" s="19"/>
      <c r="L164" s="19"/>
    </row>
    <row r="165" spans="1:12" s="10" customFormat="1" x14ac:dyDescent="0.3">
      <c r="A165" s="19" t="s">
        <v>5532</v>
      </c>
      <c r="B165" s="19" t="s">
        <v>2384</v>
      </c>
      <c r="C165" s="22" t="s">
        <v>5490</v>
      </c>
      <c r="D165" s="22" t="s">
        <v>5240</v>
      </c>
      <c r="E165" s="19" t="s">
        <v>6256</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5575</v>
      </c>
      <c r="D167" s="19" t="s">
        <v>6576</v>
      </c>
      <c r="E167" s="19" t="s">
        <v>278</v>
      </c>
      <c r="F167" s="19" t="s">
        <v>1622</v>
      </c>
      <c r="G167" s="19" t="s">
        <v>1627</v>
      </c>
      <c r="H167" s="19" t="s">
        <v>5893</v>
      </c>
      <c r="I167" s="19" t="s">
        <v>4936</v>
      </c>
      <c r="J167" s="19"/>
    </row>
    <row r="168" spans="1:12" s="10" customFormat="1" x14ac:dyDescent="0.3">
      <c r="A168" s="19" t="s">
        <v>5536</v>
      </c>
      <c r="B168" s="19" t="s">
        <v>6731</v>
      </c>
      <c r="C168" s="19" t="s">
        <v>1617</v>
      </c>
      <c r="D168" s="19" t="s">
        <v>5132</v>
      </c>
      <c r="E168" s="19" t="s">
        <v>3831</v>
      </c>
      <c r="F168" s="19" t="s">
        <v>1639</v>
      </c>
      <c r="G168" s="19" t="s">
        <v>6750</v>
      </c>
      <c r="H168" s="19" t="s">
        <v>1665</v>
      </c>
      <c r="I168" s="19"/>
      <c r="J168" s="19"/>
      <c r="K168" s="19"/>
      <c r="L168" s="19"/>
    </row>
    <row r="169" spans="1:12" s="10" customFormat="1" x14ac:dyDescent="0.3">
      <c r="A169" s="19" t="s">
        <v>1315</v>
      </c>
      <c r="B169" s="19" t="s">
        <v>1169</v>
      </c>
      <c r="C169" s="19" t="s">
        <v>4865</v>
      </c>
      <c r="D169" s="19" t="s">
        <v>7432</v>
      </c>
      <c r="E169" s="19" t="s">
        <v>6950</v>
      </c>
      <c r="F169" s="19" t="s">
        <v>1274</v>
      </c>
      <c r="G169" s="19" t="s">
        <v>6914</v>
      </c>
      <c r="H169" s="19"/>
      <c r="I169" s="19"/>
      <c r="J169" s="19"/>
      <c r="K169" s="19"/>
      <c r="L169" s="19"/>
    </row>
    <row r="170" spans="1:12" s="10" customFormat="1" x14ac:dyDescent="0.3">
      <c r="A170" s="19" t="s">
        <v>5544</v>
      </c>
      <c r="B170" s="19" t="s">
        <v>4645</v>
      </c>
      <c r="C170" s="19" t="s">
        <v>9641</v>
      </c>
      <c r="D170" s="19" t="s">
        <v>5041</v>
      </c>
      <c r="E170" s="19" t="s">
        <v>2846</v>
      </c>
      <c r="F170" s="19"/>
      <c r="G170" s="19"/>
      <c r="H170" s="19"/>
      <c r="I170" s="19"/>
      <c r="J170" s="19"/>
    </row>
    <row r="171" spans="1:12" s="10" customFormat="1" x14ac:dyDescent="0.3">
      <c r="A171" s="19" t="s">
        <v>5549</v>
      </c>
      <c r="B171" s="19" t="s">
        <v>5520</v>
      </c>
      <c r="C171" s="19" t="s">
        <v>3865</v>
      </c>
      <c r="D171" s="19" t="s">
        <v>5713</v>
      </c>
      <c r="E171" s="19" t="s">
        <v>6404</v>
      </c>
      <c r="F171" s="19"/>
      <c r="G171" s="19"/>
      <c r="H171" s="19"/>
      <c r="I171" s="19"/>
      <c r="J171" s="19"/>
      <c r="K171" s="19"/>
      <c r="L171" s="19"/>
    </row>
    <row r="172" spans="1:12" s="10" customFormat="1" x14ac:dyDescent="0.3">
      <c r="A172" s="10" t="s">
        <v>2016</v>
      </c>
      <c r="B172" s="10" t="s">
        <v>2008</v>
      </c>
      <c r="C172" s="10" t="s">
        <v>1885</v>
      </c>
      <c r="D172" s="10" t="s">
        <v>5866</v>
      </c>
      <c r="E172" s="10" t="s">
        <v>6914</v>
      </c>
      <c r="F172" s="10" t="s">
        <v>1648</v>
      </c>
      <c r="G172" s="10" t="s">
        <v>5870</v>
      </c>
      <c r="K172" s="19"/>
      <c r="L172" s="19"/>
    </row>
    <row r="173" spans="1:12" s="10" customFormat="1" x14ac:dyDescent="0.3">
      <c r="A173" s="19" t="s">
        <v>9448</v>
      </c>
      <c r="B173" s="22" t="s">
        <v>2726</v>
      </c>
      <c r="C173" s="19" t="s">
        <v>7014</v>
      </c>
      <c r="D173" s="22" t="s">
        <v>1406</v>
      </c>
      <c r="E173" s="22" t="s">
        <v>1402</v>
      </c>
      <c r="F173" s="22" t="s">
        <v>9589</v>
      </c>
      <c r="G173" s="22" t="s">
        <v>6168</v>
      </c>
      <c r="H173" s="19"/>
      <c r="I173" s="19"/>
      <c r="J173" s="19"/>
      <c r="K173" s="19"/>
      <c r="L173" s="19"/>
    </row>
    <row r="174" spans="1:12" s="10" customFormat="1" x14ac:dyDescent="0.3">
      <c r="A174" s="19" t="s">
        <v>5557</v>
      </c>
      <c r="B174" s="19" t="s">
        <v>5079</v>
      </c>
      <c r="C174" s="19"/>
      <c r="D174" s="19"/>
      <c r="E174" s="19"/>
      <c r="F174" s="19"/>
      <c r="G174" s="19"/>
      <c r="H174" s="19"/>
      <c r="I174" s="19"/>
      <c r="J174" s="19"/>
    </row>
    <row r="175" spans="1:12" s="10" customFormat="1" x14ac:dyDescent="0.3">
      <c r="A175" s="19" t="s">
        <v>4184</v>
      </c>
      <c r="B175" s="19" t="s">
        <v>1678</v>
      </c>
      <c r="C175" s="19" t="s">
        <v>1627</v>
      </c>
      <c r="D175" s="19" t="s">
        <v>1630</v>
      </c>
      <c r="E175" s="19" t="s">
        <v>7351</v>
      </c>
      <c r="F175" s="19" t="s">
        <v>69</v>
      </c>
      <c r="G175" s="19" t="s">
        <v>4980</v>
      </c>
      <c r="H175" s="19"/>
      <c r="I175" s="19"/>
      <c r="J175" s="19"/>
      <c r="K175" s="19"/>
      <c r="L175" s="19"/>
    </row>
    <row r="176" spans="1:12" s="10" customFormat="1" x14ac:dyDescent="0.3">
      <c r="A176" s="10" t="s">
        <v>760</v>
      </c>
      <c r="B176" s="10" t="s">
        <v>6216</v>
      </c>
      <c r="C176" s="10" t="s">
        <v>4626</v>
      </c>
      <c r="D176" s="10" t="s">
        <v>702</v>
      </c>
      <c r="E176" s="10" t="s">
        <v>3734</v>
      </c>
      <c r="F176" s="10" t="s">
        <v>1678</v>
      </c>
      <c r="G176" s="10" t="s">
        <v>1157</v>
      </c>
      <c r="K176" s="19"/>
      <c r="L176" s="19"/>
    </row>
    <row r="177" spans="1:12" s="10" customFormat="1" x14ac:dyDescent="0.3">
      <c r="A177" s="19" t="s">
        <v>89</v>
      </c>
      <c r="B177" s="19" t="s">
        <v>5855</v>
      </c>
      <c r="C177" s="19" t="s">
        <v>6543</v>
      </c>
      <c r="D177" s="19"/>
      <c r="E177" s="19"/>
      <c r="F177" s="19"/>
      <c r="G177" s="19"/>
      <c r="H177" s="19"/>
      <c r="I177" s="19"/>
      <c r="J177" s="19"/>
      <c r="K177" s="19"/>
      <c r="L177" s="19"/>
    </row>
    <row r="178" spans="1:12" s="10" customFormat="1" x14ac:dyDescent="0.3">
      <c r="A178" s="19" t="s">
        <v>4201</v>
      </c>
      <c r="B178" s="19" t="s">
        <v>34</v>
      </c>
      <c r="C178" s="22" t="s">
        <v>2401</v>
      </c>
      <c r="D178" s="19" t="s">
        <v>6016</v>
      </c>
      <c r="E178" s="19"/>
      <c r="F178" s="19"/>
      <c r="G178" s="19"/>
      <c r="H178" s="19"/>
      <c r="I178" s="19"/>
      <c r="J178" s="19"/>
      <c r="K178" s="19"/>
      <c r="L178" s="19"/>
    </row>
    <row r="179" spans="1:12" s="10" customFormat="1" x14ac:dyDescent="0.3">
      <c r="A179" s="10" t="s">
        <v>1090</v>
      </c>
      <c r="B179" s="10" t="s">
        <v>6572</v>
      </c>
      <c r="C179" s="10" t="s">
        <v>3262</v>
      </c>
      <c r="D179" s="10" t="s">
        <v>3267</v>
      </c>
    </row>
    <row r="180" spans="1:12" s="10" customFormat="1" x14ac:dyDescent="0.3">
      <c r="A180" s="19" t="s">
        <v>999</v>
      </c>
      <c r="B180" s="19" t="s">
        <v>6023</v>
      </c>
      <c r="C180" s="19" t="s">
        <v>3658</v>
      </c>
      <c r="D180" s="19" t="s">
        <v>6889</v>
      </c>
      <c r="E180" s="19"/>
      <c r="F180" s="19"/>
      <c r="G180" s="19"/>
      <c r="H180" s="19"/>
      <c r="I180" s="19"/>
      <c r="J180" s="19"/>
      <c r="K180" s="19"/>
      <c r="L180" s="19"/>
    </row>
    <row r="181" spans="1:12" s="10" customFormat="1" x14ac:dyDescent="0.3">
      <c r="A181" s="19" t="s">
        <v>5562</v>
      </c>
      <c r="B181" s="22" t="s">
        <v>5978</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6914</v>
      </c>
      <c r="K183" s="19"/>
      <c r="L183" s="19"/>
    </row>
    <row r="184" spans="1:12" s="10" customFormat="1" x14ac:dyDescent="0.3">
      <c r="A184" s="19" t="s">
        <v>3579</v>
      </c>
      <c r="B184" s="19" t="s">
        <v>6023</v>
      </c>
      <c r="C184" s="19" t="s">
        <v>458</v>
      </c>
      <c r="D184" s="19" t="s">
        <v>4075</v>
      </c>
      <c r="E184" s="19"/>
      <c r="F184" s="19"/>
      <c r="G184" s="19"/>
      <c r="H184" s="19"/>
      <c r="I184" s="19"/>
      <c r="J184" s="19"/>
      <c r="K184" s="19"/>
      <c r="L184" s="19"/>
    </row>
    <row r="185" spans="1:12" s="10" customFormat="1" x14ac:dyDescent="0.3">
      <c r="A185" s="19" t="s">
        <v>3116</v>
      </c>
      <c r="B185" s="22" t="s">
        <v>1029</v>
      </c>
      <c r="C185" s="19" t="s">
        <v>7026</v>
      </c>
      <c r="D185" s="19" t="s">
        <v>7160</v>
      </c>
      <c r="E185" s="34" t="s">
        <v>7282</v>
      </c>
      <c r="F185" s="19"/>
      <c r="G185" s="19"/>
      <c r="H185" s="19"/>
      <c r="I185" s="19"/>
      <c r="J185" s="19"/>
      <c r="K185" s="19"/>
      <c r="L185" s="19"/>
    </row>
    <row r="186" spans="1:12" s="10" customFormat="1" x14ac:dyDescent="0.3">
      <c r="A186" s="19" t="s">
        <v>5566</v>
      </c>
      <c r="B186" s="19" t="s">
        <v>7584</v>
      </c>
      <c r="C186" s="19" t="s">
        <v>4751</v>
      </c>
      <c r="D186" s="19" t="s">
        <v>4559</v>
      </c>
      <c r="E186" s="19" t="s">
        <v>7046</v>
      </c>
      <c r="F186" s="19"/>
      <c r="G186" s="22"/>
      <c r="H186" s="19"/>
      <c r="I186" s="19"/>
      <c r="J186" s="19"/>
      <c r="K186" s="19"/>
      <c r="L186" s="19"/>
    </row>
    <row r="187" spans="1:12" s="10" customFormat="1" x14ac:dyDescent="0.3">
      <c r="A187" s="19" t="s">
        <v>4205</v>
      </c>
      <c r="B187" s="19" t="s">
        <v>7594</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7261</v>
      </c>
      <c r="D188" s="34" t="s">
        <v>6914</v>
      </c>
      <c r="E188" s="10" t="s">
        <v>3548</v>
      </c>
      <c r="F188" s="10" t="s">
        <v>835</v>
      </c>
      <c r="K188" s="19"/>
      <c r="L188" s="19"/>
    </row>
    <row r="189" spans="1:12" s="10" customFormat="1" x14ac:dyDescent="0.3">
      <c r="A189" s="19" t="s">
        <v>4211</v>
      </c>
      <c r="B189" s="19" t="s">
        <v>2390</v>
      </c>
      <c r="C189" s="19" t="s">
        <v>5065</v>
      </c>
      <c r="D189" s="19" t="s">
        <v>7764</v>
      </c>
      <c r="E189" s="19" t="s">
        <v>1669</v>
      </c>
      <c r="F189" s="19" t="s">
        <v>6277</v>
      </c>
      <c r="G189" s="19" t="s">
        <v>10076</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5575</v>
      </c>
      <c r="B191" s="19" t="s">
        <v>6432</v>
      </c>
      <c r="C191" s="19" t="s">
        <v>6172</v>
      </c>
      <c r="D191" s="22" t="s">
        <v>278</v>
      </c>
      <c r="E191" s="19" t="s">
        <v>2008</v>
      </c>
      <c r="F191" s="19" t="s">
        <v>5413</v>
      </c>
      <c r="G191" s="19" t="s">
        <v>9396</v>
      </c>
      <c r="H191" s="19" t="s">
        <v>2825</v>
      </c>
      <c r="I191" s="19"/>
      <c r="J191" s="19"/>
    </row>
    <row r="192" spans="1:12" s="10" customFormat="1" x14ac:dyDescent="0.3">
      <c r="A192" s="19" t="s">
        <v>5583</v>
      </c>
      <c r="B192" s="19" t="s">
        <v>2811</v>
      </c>
      <c r="C192" s="22" t="s">
        <v>5429</v>
      </c>
      <c r="D192" s="22" t="s">
        <v>1678</v>
      </c>
      <c r="E192" s="19" t="s">
        <v>5061</v>
      </c>
      <c r="F192" s="19" t="s">
        <v>6914</v>
      </c>
      <c r="G192" s="19"/>
      <c r="H192" s="19"/>
      <c r="I192" s="19"/>
      <c r="J192" s="19"/>
    </row>
    <row r="193" spans="1:12" s="10" customFormat="1" x14ac:dyDescent="0.3">
      <c r="A193" s="19" t="s">
        <v>5591</v>
      </c>
      <c r="B193" s="19" t="s">
        <v>5663</v>
      </c>
      <c r="C193" s="19" t="s">
        <v>6389</v>
      </c>
      <c r="D193" s="19" t="s">
        <v>6552</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5599</v>
      </c>
      <c r="B196" s="10" t="s">
        <v>6572</v>
      </c>
      <c r="C196" s="10" t="s">
        <v>1029</v>
      </c>
      <c r="D196" s="10" t="s">
        <v>1669</v>
      </c>
      <c r="E196" s="10" t="s">
        <v>6727</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6175</v>
      </c>
      <c r="E198" s="10" t="s">
        <v>34</v>
      </c>
      <c r="K198" s="19"/>
      <c r="L198" s="19"/>
    </row>
    <row r="199" spans="1:12" s="10" customFormat="1" x14ac:dyDescent="0.3">
      <c r="A199" s="19" t="s">
        <v>5603</v>
      </c>
      <c r="B199" s="19" t="s">
        <v>4936</v>
      </c>
      <c r="C199" s="19" t="s">
        <v>4980</v>
      </c>
      <c r="D199" s="19" t="s">
        <v>69</v>
      </c>
      <c r="E199" s="19" t="s">
        <v>1622</v>
      </c>
      <c r="F199" s="19" t="s">
        <v>6922</v>
      </c>
      <c r="G199" s="19" t="s">
        <v>4936</v>
      </c>
      <c r="H199" s="19" t="s">
        <v>1608</v>
      </c>
      <c r="I199" s="19"/>
      <c r="J199" s="19"/>
    </row>
    <row r="200" spans="1:12" s="10" customFormat="1" x14ac:dyDescent="0.3">
      <c r="A200" s="10" t="s">
        <v>3287</v>
      </c>
      <c r="B200" s="10" t="s">
        <v>6572</v>
      </c>
      <c r="C200" s="10" t="s">
        <v>4626</v>
      </c>
      <c r="D200" s="34" t="s">
        <v>5462</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7594</v>
      </c>
      <c r="C202" s="10" t="s">
        <v>1029</v>
      </c>
      <c r="D202" s="10" t="s">
        <v>6175</v>
      </c>
      <c r="K202" s="19"/>
      <c r="L202" s="19"/>
    </row>
    <row r="203" spans="1:12" s="10" customFormat="1" x14ac:dyDescent="0.3">
      <c r="A203" s="10" t="s">
        <v>1216</v>
      </c>
      <c r="B203" s="10" t="s">
        <v>1169</v>
      </c>
      <c r="C203" s="10" t="s">
        <v>1170</v>
      </c>
      <c r="D203" s="10" t="s">
        <v>6175</v>
      </c>
      <c r="E203" s="10" t="s">
        <v>34</v>
      </c>
      <c r="K203" s="19"/>
      <c r="L203" s="19"/>
    </row>
    <row r="204" spans="1:12" s="10" customFormat="1" x14ac:dyDescent="0.3">
      <c r="A204" s="19" t="s">
        <v>3159</v>
      </c>
      <c r="B204" s="19" t="s">
        <v>6475</v>
      </c>
      <c r="C204" s="19" t="s">
        <v>6958</v>
      </c>
      <c r="D204" s="19" t="s">
        <v>702</v>
      </c>
      <c r="E204" s="19" t="s">
        <v>2762</v>
      </c>
      <c r="F204" s="34" t="s">
        <v>3144</v>
      </c>
      <c r="G204" s="19"/>
      <c r="H204" s="19"/>
      <c r="I204" s="19"/>
      <c r="J204" s="19"/>
      <c r="K204" s="19"/>
      <c r="L204" s="19"/>
    </row>
    <row r="205" spans="1:12" s="10" customFormat="1" x14ac:dyDescent="0.3">
      <c r="A205" s="19" t="s">
        <v>5608</v>
      </c>
      <c r="B205" s="19" t="s">
        <v>5685</v>
      </c>
      <c r="C205" s="22" t="s">
        <v>3982</v>
      </c>
      <c r="D205" s="19" t="s">
        <v>5208</v>
      </c>
      <c r="E205" s="19" t="s">
        <v>5745</v>
      </c>
      <c r="F205" s="19" t="s">
        <v>4129</v>
      </c>
      <c r="G205" s="19" t="s">
        <v>6368</v>
      </c>
      <c r="H205" s="19" t="s">
        <v>2292</v>
      </c>
      <c r="I205" s="19" t="s">
        <v>9462</v>
      </c>
      <c r="J205" s="19"/>
    </row>
    <row r="206" spans="1:12" s="10" customFormat="1" x14ac:dyDescent="0.3">
      <c r="A206" s="19" t="s">
        <v>5615</v>
      </c>
      <c r="B206" s="19" t="s">
        <v>2580</v>
      </c>
      <c r="C206" s="19" t="s">
        <v>5105</v>
      </c>
      <c r="D206" s="22" t="s">
        <v>9505</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6035</v>
      </c>
      <c r="F208" s="10" t="s">
        <v>6857</v>
      </c>
      <c r="G208" s="10" t="s">
        <v>2884</v>
      </c>
      <c r="H208" s="10" t="s">
        <v>1639</v>
      </c>
      <c r="K208" s="19"/>
      <c r="L208" s="19"/>
    </row>
    <row r="209" spans="1:12" s="10" customFormat="1" x14ac:dyDescent="0.3">
      <c r="A209" s="19" t="s">
        <v>5623</v>
      </c>
      <c r="B209" s="19" t="s">
        <v>3287</v>
      </c>
      <c r="C209" s="19" t="s">
        <v>3262</v>
      </c>
      <c r="D209" s="19" t="s">
        <v>7146</v>
      </c>
      <c r="E209" s="19" t="s">
        <v>3200</v>
      </c>
      <c r="F209" s="19"/>
      <c r="G209" s="19"/>
      <c r="H209" s="19"/>
      <c r="I209" s="19"/>
      <c r="J209" s="19"/>
      <c r="K209" s="19"/>
      <c r="L209" s="19"/>
    </row>
    <row r="210" spans="1:12" s="10" customFormat="1" x14ac:dyDescent="0.3">
      <c r="A210" s="19" t="s">
        <v>4221</v>
      </c>
      <c r="B210" s="19" t="s">
        <v>2846</v>
      </c>
      <c r="C210" s="22" t="s">
        <v>2871</v>
      </c>
      <c r="D210" s="19" t="s">
        <v>5308</v>
      </c>
      <c r="E210" s="19" t="s">
        <v>2856</v>
      </c>
      <c r="F210" s="19" t="s">
        <v>2852</v>
      </c>
      <c r="G210" s="19" t="s">
        <v>3532</v>
      </c>
      <c r="H210" s="19" t="s">
        <v>7381</v>
      </c>
      <c r="I210" s="19"/>
      <c r="J210" s="19"/>
    </row>
    <row r="211" spans="1:12" s="10" customFormat="1" x14ac:dyDescent="0.3">
      <c r="A211" s="19" t="s">
        <v>6712</v>
      </c>
      <c r="B211" s="19" t="s">
        <v>4551</v>
      </c>
      <c r="C211" s="19" t="s">
        <v>6067</v>
      </c>
      <c r="D211" s="22" t="s">
        <v>6475</v>
      </c>
      <c r="E211" s="19" t="s">
        <v>3697</v>
      </c>
      <c r="F211" s="19"/>
      <c r="G211" s="19"/>
      <c r="H211" s="19"/>
      <c r="I211" s="19"/>
      <c r="J211" s="19"/>
      <c r="K211" s="19"/>
      <c r="L211" s="19"/>
    </row>
    <row r="212" spans="1:12" s="10" customFormat="1" x14ac:dyDescent="0.3">
      <c r="A212" s="19" t="s">
        <v>5631</v>
      </c>
      <c r="B212" s="19" t="s">
        <v>1842</v>
      </c>
      <c r="C212" s="19" t="s">
        <v>2313</v>
      </c>
      <c r="D212" s="19" t="s">
        <v>5843</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6622</v>
      </c>
      <c r="C214" s="10" t="s">
        <v>6656</v>
      </c>
      <c r="D214" s="34" t="s">
        <v>5923</v>
      </c>
      <c r="E214" s="10" t="s">
        <v>2216</v>
      </c>
      <c r="F214" s="10" t="s">
        <v>4960</v>
      </c>
      <c r="G214" s="10" t="s">
        <v>3481</v>
      </c>
      <c r="H214" s="10" t="s">
        <v>6824</v>
      </c>
      <c r="I214" s="10" t="s">
        <v>5528</v>
      </c>
      <c r="J214" s="34" t="s">
        <v>1435</v>
      </c>
      <c r="K214" s="19"/>
      <c r="L214" s="19"/>
    </row>
    <row r="215" spans="1:12" s="10" customFormat="1" x14ac:dyDescent="0.3">
      <c r="A215" s="10" t="s">
        <v>2317</v>
      </c>
      <c r="B215" s="10" t="s">
        <v>6831</v>
      </c>
      <c r="C215" s="10" t="s">
        <v>5970</v>
      </c>
      <c r="D215" s="10" t="s">
        <v>3393</v>
      </c>
      <c r="E215" s="10" t="s">
        <v>3345</v>
      </c>
      <c r="F215" s="10" t="s">
        <v>2846</v>
      </c>
      <c r="G215" s="10" t="s">
        <v>6985</v>
      </c>
      <c r="H215" s="10" t="s">
        <v>3966</v>
      </c>
      <c r="K215" s="19"/>
      <c r="L215" s="19"/>
    </row>
    <row r="216" spans="1:12" s="10" customFormat="1" x14ac:dyDescent="0.3">
      <c r="A216" s="19" t="s">
        <v>2973</v>
      </c>
      <c r="B216" s="19" t="s">
        <v>2846</v>
      </c>
      <c r="C216" s="19" t="s">
        <v>4600</v>
      </c>
      <c r="D216" s="19" t="s">
        <v>9451</v>
      </c>
      <c r="E216" s="19"/>
      <c r="F216" s="19"/>
      <c r="G216" s="19"/>
      <c r="H216" s="19"/>
      <c r="I216" s="19"/>
      <c r="J216" s="19"/>
      <c r="K216" s="19"/>
      <c r="L216" s="19"/>
    </row>
    <row r="217" spans="1:12" s="10" customFormat="1" x14ac:dyDescent="0.3">
      <c r="A217" s="19" t="s">
        <v>4245</v>
      </c>
      <c r="B217" s="19" t="s">
        <v>278</v>
      </c>
      <c r="C217" s="22" t="s">
        <v>6432</v>
      </c>
      <c r="D217" s="19" t="s">
        <v>3381</v>
      </c>
      <c r="E217" s="19" t="s">
        <v>1175</v>
      </c>
      <c r="F217" s="19" t="s">
        <v>3966</v>
      </c>
      <c r="G217" s="19"/>
      <c r="H217" s="19"/>
      <c r="I217" s="19"/>
      <c r="J217" s="19"/>
      <c r="K217" s="19"/>
      <c r="L217" s="19"/>
    </row>
    <row r="218" spans="1:12" s="10" customFormat="1" x14ac:dyDescent="0.3">
      <c r="A218" s="19" t="s">
        <v>5639</v>
      </c>
      <c r="B218" s="19" t="s">
        <v>5466</v>
      </c>
      <c r="C218" s="22" t="s">
        <v>5970</v>
      </c>
      <c r="D218" s="19" t="s">
        <v>5935</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6914</v>
      </c>
      <c r="K219" s="19"/>
      <c r="L219" s="19"/>
    </row>
    <row r="220" spans="1:12" s="10" customFormat="1" x14ac:dyDescent="0.3">
      <c r="A220" s="19" t="s">
        <v>1402</v>
      </c>
      <c r="B220" s="19" t="s">
        <v>6043</v>
      </c>
      <c r="C220" s="19" t="s">
        <v>6334</v>
      </c>
      <c r="D220" s="22" t="s">
        <v>9448</v>
      </c>
      <c r="E220" s="22" t="s">
        <v>1406</v>
      </c>
      <c r="F220" s="19"/>
      <c r="G220" s="19"/>
      <c r="H220" s="19"/>
      <c r="I220" s="19"/>
      <c r="J220" s="19"/>
      <c r="K220" s="19"/>
      <c r="L220" s="19"/>
    </row>
    <row r="221" spans="1:12" s="10" customFormat="1" x14ac:dyDescent="0.3">
      <c r="A221" s="10" t="s">
        <v>1013</v>
      </c>
      <c r="B221" s="10" t="s">
        <v>7594</v>
      </c>
      <c r="C221" s="10" t="s">
        <v>1021</v>
      </c>
      <c r="D221" s="10" t="s">
        <v>1017</v>
      </c>
      <c r="E221" s="10" t="s">
        <v>3124</v>
      </c>
      <c r="F221" s="10" t="s">
        <v>6289</v>
      </c>
      <c r="K221" s="19"/>
      <c r="L221" s="19"/>
    </row>
    <row r="222" spans="1:12" s="10" customFormat="1" x14ac:dyDescent="0.3">
      <c r="A222" s="10" t="s">
        <v>3017</v>
      </c>
      <c r="B222" s="10" t="s">
        <v>2846</v>
      </c>
      <c r="C222" s="10" t="s">
        <v>5344</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6067</v>
      </c>
      <c r="D225" s="19" t="s">
        <v>5429</v>
      </c>
      <c r="E225" s="19" t="s">
        <v>6168</v>
      </c>
      <c r="F225" s="19"/>
      <c r="G225" s="19"/>
      <c r="H225" s="19"/>
      <c r="I225" s="19"/>
      <c r="J225" s="19"/>
      <c r="K225" s="19"/>
      <c r="L225" s="19"/>
    </row>
    <row r="226" spans="1:12" s="10" customFormat="1" x14ac:dyDescent="0.3">
      <c r="A226" s="19" t="s">
        <v>4258</v>
      </c>
      <c r="B226" s="19" t="s">
        <v>9516</v>
      </c>
      <c r="C226" s="19"/>
      <c r="D226" s="19"/>
      <c r="E226" s="19"/>
      <c r="F226" s="19"/>
      <c r="G226" s="19"/>
      <c r="H226" s="19"/>
      <c r="I226" s="19"/>
      <c r="J226" s="19"/>
      <c r="K226" s="19"/>
      <c r="L226" s="19"/>
    </row>
    <row r="227" spans="1:12" s="10" customFormat="1" x14ac:dyDescent="0.3">
      <c r="A227" s="19" t="s">
        <v>4266</v>
      </c>
      <c r="B227" s="19" t="s">
        <v>69</v>
      </c>
      <c r="C227" s="19" t="s">
        <v>1622</v>
      </c>
      <c r="D227" s="19" t="s">
        <v>4936</v>
      </c>
      <c r="E227" s="19"/>
      <c r="F227" s="19"/>
      <c r="G227" s="19"/>
      <c r="H227" s="19"/>
      <c r="I227" s="19"/>
      <c r="J227" s="19"/>
      <c r="K227" s="19"/>
      <c r="L227" s="19"/>
    </row>
    <row r="228" spans="1:12" s="10" customFormat="1" x14ac:dyDescent="0.3">
      <c r="A228" s="19" t="s">
        <v>5643</v>
      </c>
      <c r="B228" s="19" t="s">
        <v>4608</v>
      </c>
      <c r="C228" s="19" t="s">
        <v>458</v>
      </c>
      <c r="D228" s="22" t="s">
        <v>3982</v>
      </c>
      <c r="E228" s="19" t="s">
        <v>3753</v>
      </c>
      <c r="F228" s="19" t="s">
        <v>4129</v>
      </c>
      <c r="G228" s="19" t="s">
        <v>6368</v>
      </c>
      <c r="H228" s="19"/>
      <c r="I228" s="19"/>
      <c r="J228" s="19"/>
      <c r="K228" s="19"/>
      <c r="L228" s="19"/>
    </row>
    <row r="229" spans="1:12" s="10" customFormat="1" x14ac:dyDescent="0.3">
      <c r="A229" s="19" t="s">
        <v>5646</v>
      </c>
      <c r="B229" s="19" t="s">
        <v>3414</v>
      </c>
      <c r="C229" s="19" t="s">
        <v>7400</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5855</v>
      </c>
      <c r="F230" s="19" t="s">
        <v>6715</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5650</v>
      </c>
      <c r="B232" s="19" t="s">
        <v>458</v>
      </c>
      <c r="C232" s="19" t="s">
        <v>2721</v>
      </c>
      <c r="D232" s="22" t="s">
        <v>6334</v>
      </c>
      <c r="E232" s="19" t="s">
        <v>5876</v>
      </c>
      <c r="F232" s="19"/>
      <c r="G232" s="19"/>
      <c r="H232" s="19"/>
      <c r="I232" s="19"/>
      <c r="J232" s="19"/>
      <c r="K232" s="19"/>
      <c r="L232" s="19"/>
    </row>
    <row r="233" spans="1:12" s="10" customFormat="1" x14ac:dyDescent="0.3">
      <c r="A233" s="19" t="s">
        <v>5655</v>
      </c>
      <c r="B233" s="19" t="s">
        <v>5951</v>
      </c>
      <c r="C233" s="22" t="s">
        <v>4784</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9448</v>
      </c>
      <c r="G234" s="19"/>
      <c r="H234" s="19"/>
      <c r="I234" s="19"/>
      <c r="J234" s="19"/>
      <c r="K234" s="19"/>
      <c r="L234" s="19"/>
    </row>
    <row r="235" spans="1:12" s="10" customFormat="1" x14ac:dyDescent="0.3">
      <c r="A235" s="19" t="s">
        <v>642</v>
      </c>
      <c r="B235" s="19" t="s">
        <v>678</v>
      </c>
      <c r="C235" s="19" t="s">
        <v>6008</v>
      </c>
      <c r="D235" s="19" t="s">
        <v>2248</v>
      </c>
      <c r="E235" s="19" t="s">
        <v>3588</v>
      </c>
      <c r="F235" s="19" t="s">
        <v>4065</v>
      </c>
      <c r="G235" s="19" t="s">
        <v>666</v>
      </c>
      <c r="H235" s="22" t="s">
        <v>7709</v>
      </c>
      <c r="I235" s="19" t="s">
        <v>686</v>
      </c>
      <c r="J235" s="19" t="s">
        <v>3954</v>
      </c>
      <c r="K235" s="19"/>
      <c r="L235" s="19"/>
    </row>
    <row r="236" spans="1:12" s="10" customFormat="1" x14ac:dyDescent="0.3">
      <c r="A236" s="19" t="s">
        <v>5663</v>
      </c>
      <c r="B236" s="19" t="s">
        <v>5591</v>
      </c>
      <c r="C236" s="19" t="s">
        <v>6552</v>
      </c>
      <c r="D236" s="19" t="s">
        <v>4065</v>
      </c>
      <c r="E236" s="19" t="s">
        <v>1723</v>
      </c>
      <c r="F236" s="19" t="s">
        <v>3954</v>
      </c>
      <c r="G236" s="19" t="s">
        <v>7584</v>
      </c>
      <c r="H236" s="19" t="s">
        <v>686</v>
      </c>
      <c r="I236" s="19" t="s">
        <v>666</v>
      </c>
      <c r="J236" s="19" t="s">
        <v>634</v>
      </c>
      <c r="K236" s="19"/>
      <c r="L236" s="19"/>
    </row>
    <row r="237" spans="1:12" s="10" customFormat="1" x14ac:dyDescent="0.3">
      <c r="A237" s="19" t="s">
        <v>5667</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9502</v>
      </c>
      <c r="E238" s="10" t="s">
        <v>2721</v>
      </c>
      <c r="K238" s="19"/>
      <c r="L238" s="19"/>
    </row>
    <row r="239" spans="1:12" s="10" customFormat="1" x14ac:dyDescent="0.3">
      <c r="A239" s="19" t="s">
        <v>4278</v>
      </c>
      <c r="B239" s="22" t="s">
        <v>1842</v>
      </c>
      <c r="C239" s="19" t="s">
        <v>1335</v>
      </c>
      <c r="D239" s="19" t="s">
        <v>5421</v>
      </c>
      <c r="E239" s="19" t="s">
        <v>3308</v>
      </c>
      <c r="F239" s="19" t="s">
        <v>5401</v>
      </c>
      <c r="G239" s="19" t="s">
        <v>5761</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5304</v>
      </c>
      <c r="C241" s="19" t="s">
        <v>6824</v>
      </c>
      <c r="D241" s="19" t="s">
        <v>5726</v>
      </c>
      <c r="E241" s="19" t="s">
        <v>3753</v>
      </c>
      <c r="F241" s="19"/>
      <c r="G241" s="19"/>
      <c r="H241" s="19"/>
      <c r="I241" s="19"/>
      <c r="J241" s="19"/>
      <c r="K241" s="19"/>
      <c r="L241" s="19"/>
    </row>
    <row r="242" spans="1:12" s="10" customFormat="1" x14ac:dyDescent="0.3">
      <c r="A242" s="19" t="s">
        <v>4290</v>
      </c>
      <c r="B242" s="19" t="s">
        <v>6792</v>
      </c>
      <c r="C242" s="19" t="s">
        <v>5388</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7358</v>
      </c>
      <c r="D243" s="19"/>
      <c r="E243" s="19"/>
      <c r="F243" s="19"/>
      <c r="G243" s="19"/>
      <c r="H243" s="19"/>
      <c r="I243" s="19"/>
      <c r="J243" s="19"/>
      <c r="K243" s="19"/>
      <c r="L243" s="19"/>
    </row>
    <row r="244" spans="1:12" s="10" customFormat="1" x14ac:dyDescent="0.3">
      <c r="A244" s="19" t="s">
        <v>4298</v>
      </c>
      <c r="B244" s="19" t="s">
        <v>6994</v>
      </c>
      <c r="C244" s="19" t="s">
        <v>458</v>
      </c>
      <c r="D244" s="19" t="s">
        <v>3857</v>
      </c>
      <c r="E244" s="19" t="s">
        <v>3903</v>
      </c>
      <c r="F244" s="19" t="s">
        <v>690</v>
      </c>
      <c r="G244" s="19"/>
      <c r="H244" s="19"/>
      <c r="I244" s="19"/>
      <c r="J244" s="19"/>
      <c r="K244" s="19"/>
      <c r="L244" s="19"/>
    </row>
    <row r="245" spans="1:12" s="10" customFormat="1" x14ac:dyDescent="0.3">
      <c r="A245" s="19" t="s">
        <v>5675</v>
      </c>
      <c r="B245" s="19" t="s">
        <v>458</v>
      </c>
      <c r="C245" s="19" t="s">
        <v>2721</v>
      </c>
      <c r="D245" s="19" t="s">
        <v>9502</v>
      </c>
      <c r="E245" s="19" t="s">
        <v>5650</v>
      </c>
      <c r="F245" s="19" t="s">
        <v>7584</v>
      </c>
      <c r="G245" s="19" t="s">
        <v>6091</v>
      </c>
      <c r="H245" s="19"/>
      <c r="I245" s="19"/>
      <c r="J245" s="19"/>
      <c r="K245" s="19"/>
      <c r="L245" s="19"/>
    </row>
    <row r="246" spans="1:12" s="10" customFormat="1" x14ac:dyDescent="0.3">
      <c r="A246" s="19" t="s">
        <v>4302</v>
      </c>
      <c r="B246" s="19" t="s">
        <v>1622</v>
      </c>
      <c r="C246" s="19" t="s">
        <v>7218</v>
      </c>
      <c r="D246" s="19" t="s">
        <v>6922</v>
      </c>
      <c r="E246" s="19" t="s">
        <v>4980</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5679</v>
      </c>
      <c r="B248" s="19" t="s">
        <v>4738</v>
      </c>
      <c r="C248" s="19" t="s">
        <v>2596</v>
      </c>
      <c r="D248" s="19"/>
      <c r="E248" s="19"/>
      <c r="F248" s="19"/>
      <c r="G248" s="19"/>
      <c r="H248" s="19"/>
      <c r="I248" s="19"/>
      <c r="J248" s="19"/>
      <c r="K248" s="19"/>
      <c r="L248" s="19"/>
    </row>
    <row r="249" spans="1:12" s="10" customFormat="1" x14ac:dyDescent="0.3">
      <c r="A249" s="19" t="s">
        <v>1077</v>
      </c>
      <c r="B249" s="22" t="s">
        <v>1029</v>
      </c>
      <c r="C249" s="22" t="s">
        <v>9513</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5978</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9505</v>
      </c>
      <c r="J251" s="19" t="s">
        <v>9473</v>
      </c>
      <c r="K251" s="19"/>
      <c r="L251" s="19"/>
    </row>
    <row r="252" spans="1:12" s="10" customFormat="1" x14ac:dyDescent="0.3">
      <c r="A252" s="19" t="s">
        <v>5685</v>
      </c>
      <c r="B252" s="22" t="s">
        <v>5608</v>
      </c>
      <c r="C252" s="19" t="s">
        <v>2119</v>
      </c>
      <c r="D252" s="19" t="s">
        <v>3982</v>
      </c>
      <c r="E252" s="19" t="s">
        <v>4082</v>
      </c>
      <c r="F252" s="19" t="s">
        <v>5208</v>
      </c>
      <c r="G252" s="19" t="s">
        <v>5745</v>
      </c>
      <c r="H252" s="19" t="s">
        <v>4129</v>
      </c>
      <c r="I252" s="19" t="s">
        <v>6368</v>
      </c>
      <c r="J252" s="19" t="s">
        <v>5380</v>
      </c>
    </row>
    <row r="253" spans="1:12" s="10" customFormat="1" x14ac:dyDescent="0.3">
      <c r="A253" s="19" t="s">
        <v>3692</v>
      </c>
      <c r="B253" s="19" t="s">
        <v>3697</v>
      </c>
      <c r="C253" s="19" t="s">
        <v>4551</v>
      </c>
      <c r="D253" s="19" t="s">
        <v>756</v>
      </c>
      <c r="E253" s="19" t="s">
        <v>6712</v>
      </c>
      <c r="F253" s="34" t="s">
        <v>577</v>
      </c>
      <c r="G253" s="19" t="s">
        <v>9483</v>
      </c>
      <c r="H253" s="19"/>
      <c r="I253" s="19"/>
      <c r="J253" s="19"/>
      <c r="K253" s="19"/>
      <c r="L253" s="19"/>
    </row>
    <row r="254" spans="1:12" s="10" customFormat="1" x14ac:dyDescent="0.3">
      <c r="A254" s="10" t="s">
        <v>1764</v>
      </c>
      <c r="B254" s="34" t="s">
        <v>4441</v>
      </c>
      <c r="C254" s="34" t="s">
        <v>5726</v>
      </c>
      <c r="D254" s="34" t="s">
        <v>1697</v>
      </c>
      <c r="K254" s="19"/>
      <c r="L254" s="19"/>
    </row>
    <row r="255" spans="1:12" s="10" customFormat="1" x14ac:dyDescent="0.3">
      <c r="A255" s="19" t="s">
        <v>2604</v>
      </c>
      <c r="B255" s="19" t="s">
        <v>6498</v>
      </c>
      <c r="C255" s="19" t="s">
        <v>2607</v>
      </c>
      <c r="D255" s="19" t="s">
        <v>4575</v>
      </c>
      <c r="E255" s="19" t="s">
        <v>7665</v>
      </c>
      <c r="F255" s="19" t="s">
        <v>2871</v>
      </c>
      <c r="G255" s="19"/>
      <c r="H255" s="19"/>
      <c r="I255" s="19"/>
      <c r="J255" s="19"/>
    </row>
    <row r="256" spans="1:12" s="10" customFormat="1" x14ac:dyDescent="0.3">
      <c r="A256" s="19" t="s">
        <v>5693</v>
      </c>
      <c r="B256" s="19" t="s">
        <v>416</v>
      </c>
      <c r="C256" s="19" t="s">
        <v>2256</v>
      </c>
      <c r="D256" s="19" t="s">
        <v>4894</v>
      </c>
      <c r="E256" s="19"/>
      <c r="F256" s="19"/>
      <c r="G256" s="19"/>
      <c r="H256" s="19"/>
      <c r="I256" s="19"/>
      <c r="J256" s="19"/>
      <c r="K256" s="19"/>
      <c r="L256" s="19"/>
    </row>
    <row r="257" spans="1:12" s="10" customFormat="1" x14ac:dyDescent="0.3">
      <c r="A257" s="19" t="s">
        <v>4310</v>
      </c>
      <c r="B257" s="19" t="s">
        <v>2846</v>
      </c>
      <c r="C257" s="19" t="s">
        <v>2834</v>
      </c>
      <c r="D257" s="34" t="s">
        <v>2551</v>
      </c>
      <c r="E257" s="19" t="s">
        <v>5663</v>
      </c>
      <c r="F257" s="19" t="s">
        <v>6552</v>
      </c>
      <c r="G257" s="19" t="s">
        <v>9397</v>
      </c>
      <c r="H257" s="19"/>
      <c r="I257" s="19"/>
      <c r="J257" s="19"/>
      <c r="K257" s="19"/>
      <c r="L257" s="19"/>
    </row>
    <row r="258" spans="1:12" s="10" customFormat="1" x14ac:dyDescent="0.3">
      <c r="A258" s="10" t="s">
        <v>5698</v>
      </c>
      <c r="B258" s="10" t="s">
        <v>29</v>
      </c>
      <c r="C258" s="10" t="s">
        <v>473</v>
      </c>
      <c r="D258" s="10" t="s">
        <v>531</v>
      </c>
      <c r="E258" s="34" t="s">
        <v>526</v>
      </c>
      <c r="F258" s="10" t="s">
        <v>499</v>
      </c>
      <c r="G258" s="10" t="s">
        <v>490</v>
      </c>
      <c r="K258" s="19"/>
      <c r="L258" s="19"/>
    </row>
    <row r="259" spans="1:12" s="10" customFormat="1" x14ac:dyDescent="0.3">
      <c r="A259" s="19" t="s">
        <v>5701</v>
      </c>
      <c r="B259" s="22" t="s">
        <v>3188</v>
      </c>
      <c r="C259" s="22" t="s">
        <v>4865</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6914</v>
      </c>
    </row>
    <row r="261" spans="1:12" s="10" customFormat="1" x14ac:dyDescent="0.3">
      <c r="A261" s="19" t="s">
        <v>5705</v>
      </c>
      <c r="B261" s="34" t="s">
        <v>2451</v>
      </c>
      <c r="C261" s="22" t="s">
        <v>4137</v>
      </c>
      <c r="D261" s="22" t="s">
        <v>760</v>
      </c>
      <c r="E261" s="19" t="s">
        <v>5421</v>
      </c>
      <c r="F261" s="19" t="s">
        <v>3966</v>
      </c>
      <c r="G261" s="19"/>
      <c r="H261" s="19"/>
      <c r="I261" s="19"/>
      <c r="J261" s="19"/>
      <c r="K261" s="19"/>
      <c r="L261" s="19"/>
    </row>
    <row r="262" spans="1:12" s="10" customFormat="1" x14ac:dyDescent="0.3">
      <c r="A262" s="19" t="s">
        <v>4318</v>
      </c>
      <c r="B262" s="19" t="s">
        <v>2390</v>
      </c>
      <c r="C262" s="19" t="s">
        <v>6475</v>
      </c>
      <c r="D262" s="22" t="s">
        <v>3180</v>
      </c>
      <c r="E262" s="19" t="s">
        <v>820</v>
      </c>
      <c r="F262" s="19"/>
      <c r="G262" s="19"/>
      <c r="H262" s="19"/>
      <c r="I262" s="19"/>
      <c r="J262" s="19"/>
      <c r="K262" s="19"/>
      <c r="L262" s="19"/>
    </row>
    <row r="263" spans="1:12" s="10" customFormat="1" x14ac:dyDescent="0.3">
      <c r="A263" s="10" t="s">
        <v>5713</v>
      </c>
      <c r="B263" s="10" t="s">
        <v>5429</v>
      </c>
      <c r="C263" s="10" t="s">
        <v>6067</v>
      </c>
      <c r="D263" s="10" t="s">
        <v>3865</v>
      </c>
      <c r="E263" s="10" t="s">
        <v>2119</v>
      </c>
      <c r="F263" s="10" t="s">
        <v>2115</v>
      </c>
      <c r="K263" s="19"/>
      <c r="L263" s="19"/>
    </row>
    <row r="264" spans="1:12" s="10" customFormat="1" x14ac:dyDescent="0.3">
      <c r="A264" s="19" t="s">
        <v>4326</v>
      </c>
      <c r="B264" s="22" t="s">
        <v>1175</v>
      </c>
      <c r="C264" s="22" t="s">
        <v>1585</v>
      </c>
      <c r="D264" s="22" t="s">
        <v>5401</v>
      </c>
      <c r="E264" s="22" t="s">
        <v>3327</v>
      </c>
      <c r="F264" s="19" t="s">
        <v>3321</v>
      </c>
      <c r="G264" s="19" t="s">
        <v>5772</v>
      </c>
      <c r="H264" s="19"/>
      <c r="I264" s="19"/>
      <c r="J264" s="19"/>
      <c r="K264" s="19"/>
      <c r="L264" s="19"/>
    </row>
    <row r="265" spans="1:12" s="10" customFormat="1" x14ac:dyDescent="0.3">
      <c r="A265" s="19" t="s">
        <v>3713</v>
      </c>
      <c r="B265" s="19" t="s">
        <v>6511</v>
      </c>
      <c r="C265" s="19"/>
      <c r="D265" s="19"/>
      <c r="E265" s="19"/>
      <c r="F265" s="19"/>
      <c r="G265" s="19"/>
      <c r="H265" s="19"/>
      <c r="I265" s="19"/>
      <c r="J265" s="19"/>
      <c r="K265" s="19"/>
      <c r="L265" s="19"/>
    </row>
    <row r="266" spans="1:12" s="10" customFormat="1" x14ac:dyDescent="0.3">
      <c r="A266" s="19" t="s">
        <v>5719</v>
      </c>
      <c r="B266" s="19" t="s">
        <v>5729</v>
      </c>
      <c r="C266" s="19" t="s">
        <v>4373</v>
      </c>
      <c r="D266" s="22"/>
      <c r="E266" s="19"/>
      <c r="F266" s="19"/>
      <c r="G266" s="19"/>
      <c r="H266" s="19"/>
      <c r="I266" s="19"/>
      <c r="J266" s="19"/>
      <c r="K266" s="19"/>
      <c r="L266" s="19"/>
    </row>
    <row r="267" spans="1:12" s="10" customFormat="1" x14ac:dyDescent="0.3">
      <c r="A267" s="10" t="s">
        <v>702</v>
      </c>
      <c r="B267" s="10" t="s">
        <v>34</v>
      </c>
      <c r="C267" s="10" t="s">
        <v>6914</v>
      </c>
      <c r="D267" s="10" t="s">
        <v>6252</v>
      </c>
      <c r="K267" s="19"/>
      <c r="L267" s="19"/>
    </row>
    <row r="268" spans="1:12" s="10" customFormat="1" x14ac:dyDescent="0.3">
      <c r="A268" s="10" t="s">
        <v>2200</v>
      </c>
      <c r="B268" s="10" t="s">
        <v>458</v>
      </c>
      <c r="C268" s="10" t="s">
        <v>6172</v>
      </c>
      <c r="D268" s="10" t="s">
        <v>23</v>
      </c>
      <c r="E268" s="10" t="s">
        <v>2744</v>
      </c>
      <c r="F268" s="10" t="s">
        <v>2753</v>
      </c>
      <c r="G268" s="10" t="s">
        <v>6914</v>
      </c>
      <c r="K268" s="19"/>
      <c r="L268" s="19"/>
    </row>
    <row r="269" spans="1:12" s="10" customFormat="1" x14ac:dyDescent="0.3">
      <c r="A269" s="19" t="s">
        <v>4334</v>
      </c>
      <c r="B269" s="19" t="s">
        <v>6692</v>
      </c>
      <c r="C269" s="19" t="s">
        <v>3481</v>
      </c>
      <c r="D269" s="19" t="s">
        <v>7278</v>
      </c>
      <c r="E269" s="19" t="s">
        <v>6656</v>
      </c>
      <c r="F269" s="19" t="s">
        <v>473</v>
      </c>
      <c r="G269" s="19"/>
      <c r="H269" s="19"/>
      <c r="I269" s="19"/>
      <c r="J269" s="19"/>
      <c r="K269" s="19"/>
      <c r="L269" s="19"/>
    </row>
    <row r="270" spans="1:12" s="10" customFormat="1" x14ac:dyDescent="0.3">
      <c r="A270" s="19" t="s">
        <v>1958</v>
      </c>
      <c r="B270" s="19" t="s">
        <v>5787</v>
      </c>
      <c r="C270" s="19" t="s">
        <v>5970</v>
      </c>
      <c r="D270" s="19" t="s">
        <v>670</v>
      </c>
      <c r="E270" s="19" t="s">
        <v>6289</v>
      </c>
      <c r="F270" s="19" t="s">
        <v>4065</v>
      </c>
      <c r="G270" s="19"/>
      <c r="H270" s="19"/>
      <c r="I270" s="19"/>
      <c r="J270" s="19"/>
    </row>
    <row r="271" spans="1:12" s="10" customFormat="1" x14ac:dyDescent="0.3">
      <c r="A271" s="19" t="s">
        <v>3742</v>
      </c>
      <c r="B271" s="19" t="s">
        <v>7390</v>
      </c>
      <c r="C271" s="19" t="s">
        <v>957</v>
      </c>
      <c r="D271" s="19"/>
      <c r="E271" s="19"/>
      <c r="F271" s="19"/>
      <c r="G271" s="19"/>
      <c r="H271" s="19"/>
      <c r="I271" s="19"/>
      <c r="J271" s="19"/>
      <c r="K271" s="19"/>
      <c r="L271" s="19"/>
    </row>
    <row r="272" spans="1:12" s="10" customFormat="1" x14ac:dyDescent="0.3">
      <c r="A272" s="19" t="s">
        <v>5726</v>
      </c>
      <c r="B272" s="19" t="s">
        <v>5208</v>
      </c>
      <c r="C272" s="19" t="s">
        <v>3753</v>
      </c>
      <c r="D272" s="19" t="s">
        <v>5304</v>
      </c>
      <c r="E272" s="19" t="s">
        <v>7170</v>
      </c>
      <c r="F272" s="19" t="s">
        <v>5795</v>
      </c>
      <c r="G272" s="19"/>
      <c r="H272" s="19"/>
      <c r="I272" s="19"/>
      <c r="J272" s="19"/>
      <c r="K272" s="19"/>
      <c r="L272" s="19"/>
    </row>
    <row r="273" spans="1:12" s="10" customFormat="1" x14ac:dyDescent="0.3">
      <c r="A273" s="19" t="s">
        <v>3753</v>
      </c>
      <c r="B273" s="19" t="s">
        <v>5726</v>
      </c>
      <c r="C273" s="19" t="s">
        <v>5304</v>
      </c>
      <c r="D273" s="19" t="s">
        <v>5208</v>
      </c>
      <c r="E273" s="19" t="s">
        <v>1279</v>
      </c>
      <c r="F273" s="19" t="s">
        <v>1927</v>
      </c>
      <c r="G273" s="19" t="s">
        <v>1293</v>
      </c>
      <c r="H273" s="19" t="s">
        <v>1319</v>
      </c>
      <c r="I273" s="19" t="s">
        <v>7509</v>
      </c>
      <c r="J273" s="19"/>
    </row>
    <row r="274" spans="1:12" s="10" customFormat="1" x14ac:dyDescent="0.3">
      <c r="A274" s="19" t="s">
        <v>618</v>
      </c>
      <c r="B274" s="19" t="s">
        <v>3759</v>
      </c>
      <c r="C274" s="22" t="s">
        <v>670</v>
      </c>
      <c r="D274" s="19" t="s">
        <v>6289</v>
      </c>
      <c r="E274" s="19" t="s">
        <v>622</v>
      </c>
      <c r="F274" s="19" t="s">
        <v>7594</v>
      </c>
      <c r="G274" s="19" t="s">
        <v>7709</v>
      </c>
      <c r="H274" s="19"/>
      <c r="I274" s="19"/>
      <c r="J274" s="19"/>
    </row>
    <row r="275" spans="1:12" s="10" customFormat="1" x14ac:dyDescent="0.3">
      <c r="A275" s="19" t="s">
        <v>940</v>
      </c>
      <c r="B275" s="19" t="s">
        <v>880</v>
      </c>
      <c r="C275" s="19" t="s">
        <v>908</v>
      </c>
      <c r="D275" s="19" t="s">
        <v>912</v>
      </c>
      <c r="E275" s="19" t="s">
        <v>7093</v>
      </c>
      <c r="F275" s="22" t="s">
        <v>960</v>
      </c>
      <c r="G275" s="19" t="s">
        <v>944</v>
      </c>
      <c r="H275" s="19"/>
      <c r="I275" s="19"/>
      <c r="J275" s="19"/>
      <c r="K275" s="19"/>
      <c r="L275" s="19"/>
    </row>
    <row r="276" spans="1:12" s="10" customFormat="1" x14ac:dyDescent="0.3">
      <c r="A276" s="19" t="s">
        <v>5729</v>
      </c>
      <c r="B276" s="19" t="s">
        <v>5719</v>
      </c>
      <c r="C276" s="19" t="s">
        <v>4373</v>
      </c>
      <c r="D276" s="22" t="s">
        <v>6182</v>
      </c>
      <c r="E276" s="22" t="s">
        <v>5876</v>
      </c>
      <c r="F276" s="19" t="s">
        <v>5859</v>
      </c>
      <c r="G276" s="19"/>
      <c r="H276" s="19"/>
      <c r="I276" s="19"/>
      <c r="J276" s="19"/>
    </row>
    <row r="277" spans="1:12" s="10" customFormat="1" x14ac:dyDescent="0.3">
      <c r="A277" s="25" t="s">
        <v>9528</v>
      </c>
      <c r="B277" s="26" t="s">
        <v>4420</v>
      </c>
      <c r="C277" s="26" t="s">
        <v>5983</v>
      </c>
      <c r="D277" s="26" t="s">
        <v>968</v>
      </c>
      <c r="E277" s="26"/>
      <c r="F277" s="26"/>
      <c r="G277" s="26"/>
      <c r="H277" s="26"/>
      <c r="I277" s="26"/>
      <c r="J277" s="26"/>
    </row>
    <row r="278" spans="1:12" s="10" customFormat="1" x14ac:dyDescent="0.3">
      <c r="A278" s="19" t="s">
        <v>5737</v>
      </c>
      <c r="B278" s="19" t="s">
        <v>5396</v>
      </c>
      <c r="C278" s="19" t="s">
        <v>4059</v>
      </c>
      <c r="D278" s="19" t="s">
        <v>4901</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5745</v>
      </c>
      <c r="B280" s="19" t="s">
        <v>5208</v>
      </c>
      <c r="C280" s="19" t="s">
        <v>5795</v>
      </c>
      <c r="D280" s="19" t="s">
        <v>6202</v>
      </c>
      <c r="E280" s="19" t="s">
        <v>5726</v>
      </c>
      <c r="F280" s="19" t="s">
        <v>3753</v>
      </c>
      <c r="G280" s="34" t="s">
        <v>1383</v>
      </c>
      <c r="H280" s="22" t="s">
        <v>9653</v>
      </c>
      <c r="I280" s="19" t="s">
        <v>2846</v>
      </c>
      <c r="J280" s="19"/>
    </row>
    <row r="281" spans="1:12" s="10" customFormat="1" x14ac:dyDescent="0.3">
      <c r="A281" s="19" t="s">
        <v>5753</v>
      </c>
      <c r="B281" s="22" t="s">
        <v>6889</v>
      </c>
      <c r="C281" s="19" t="s">
        <v>7764</v>
      </c>
      <c r="D281" s="22" t="s">
        <v>4211</v>
      </c>
      <c r="E281" s="19" t="s">
        <v>6451</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7003</v>
      </c>
      <c r="F283" s="10" t="s">
        <v>3458</v>
      </c>
      <c r="G283" s="10" t="s">
        <v>6914</v>
      </c>
      <c r="H283" s="10" t="s">
        <v>3548</v>
      </c>
      <c r="I283" s="10" t="s">
        <v>3973</v>
      </c>
      <c r="J283" s="10" t="s">
        <v>880</v>
      </c>
      <c r="K283" s="19"/>
      <c r="L283" s="19"/>
    </row>
    <row r="284" spans="1:12" s="10" customFormat="1" x14ac:dyDescent="0.3">
      <c r="A284" s="19" t="s">
        <v>5761</v>
      </c>
      <c r="B284" s="19" t="s">
        <v>6252</v>
      </c>
      <c r="C284" s="19" t="s">
        <v>884</v>
      </c>
      <c r="D284" s="19" t="s">
        <v>3308</v>
      </c>
      <c r="E284" s="19" t="s">
        <v>5401</v>
      </c>
      <c r="F284" s="19" t="s">
        <v>4278</v>
      </c>
      <c r="G284" s="19" t="s">
        <v>7449</v>
      </c>
      <c r="H284" s="19" t="s">
        <v>1552</v>
      </c>
      <c r="I284" s="19" t="s">
        <v>6914</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7594</v>
      </c>
      <c r="C286" s="10" t="s">
        <v>1029</v>
      </c>
      <c r="D286" s="10" t="s">
        <v>1051</v>
      </c>
      <c r="E286" s="34" t="s">
        <v>2433</v>
      </c>
      <c r="F286" s="10" t="s">
        <v>6914</v>
      </c>
      <c r="K286" s="19"/>
      <c r="L286" s="19"/>
    </row>
    <row r="287" spans="1:12" s="10" customFormat="1" x14ac:dyDescent="0.3">
      <c r="A287" s="19" t="s">
        <v>5768</v>
      </c>
      <c r="B287" s="19" t="s">
        <v>7436</v>
      </c>
      <c r="C287" s="19" t="s">
        <v>6692</v>
      </c>
      <c r="D287" s="19" t="s">
        <v>3603</v>
      </c>
      <c r="E287" s="19" t="s">
        <v>6914</v>
      </c>
      <c r="F287" s="19" t="s">
        <v>3548</v>
      </c>
      <c r="G287" s="19" t="s">
        <v>3414</v>
      </c>
      <c r="H287" s="19" t="s">
        <v>6380</v>
      </c>
      <c r="I287" s="19" t="s">
        <v>4543</v>
      </c>
      <c r="J287" s="19"/>
      <c r="K287" s="19"/>
      <c r="L287" s="19"/>
    </row>
    <row r="288" spans="1:12" s="10" customFormat="1" x14ac:dyDescent="0.3">
      <c r="A288" s="19" t="s">
        <v>5772</v>
      </c>
      <c r="B288" s="19" t="s">
        <v>6172</v>
      </c>
      <c r="C288" s="19" t="s">
        <v>6252</v>
      </c>
      <c r="D288" s="19" t="s">
        <v>4420</v>
      </c>
      <c r="E288" s="22" t="s">
        <v>6252</v>
      </c>
      <c r="F288" s="22" t="s">
        <v>1335</v>
      </c>
      <c r="G288" s="19" t="s">
        <v>7461</v>
      </c>
      <c r="H288" s="19" t="s">
        <v>7465</v>
      </c>
      <c r="I288" s="19"/>
      <c r="J288" s="19"/>
      <c r="K288" s="19"/>
      <c r="L288" s="19"/>
    </row>
    <row r="289" spans="1:12" s="10" customFormat="1" x14ac:dyDescent="0.3">
      <c r="A289" s="19" t="s">
        <v>5779</v>
      </c>
      <c r="B289" s="10" t="s">
        <v>73</v>
      </c>
      <c r="C289" s="10" t="s">
        <v>34</v>
      </c>
      <c r="D289" s="10" t="s">
        <v>6656</v>
      </c>
      <c r="E289" s="10" t="s">
        <v>3481</v>
      </c>
      <c r="F289" s="10" t="s">
        <v>6824</v>
      </c>
      <c r="G289" s="10" t="s">
        <v>5528</v>
      </c>
      <c r="H289" s="10" t="s">
        <v>5087</v>
      </c>
      <c r="I289" s="10" t="s">
        <v>6487</v>
      </c>
    </row>
    <row r="290" spans="1:12" s="10" customFormat="1" x14ac:dyDescent="0.3">
      <c r="A290" s="19" t="s">
        <v>4352</v>
      </c>
      <c r="B290" s="19" t="s">
        <v>3641</v>
      </c>
      <c r="C290" s="19" t="s">
        <v>9515</v>
      </c>
      <c r="D290" s="19"/>
      <c r="E290" s="19"/>
      <c r="F290" s="19"/>
      <c r="G290" s="19"/>
      <c r="H290" s="19"/>
      <c r="I290" s="19"/>
      <c r="J290" s="19"/>
      <c r="K290" s="19"/>
      <c r="L290" s="19"/>
    </row>
    <row r="291" spans="1:12" s="10" customFormat="1" x14ac:dyDescent="0.3">
      <c r="A291" s="19" t="s">
        <v>5783</v>
      </c>
      <c r="B291" s="19" t="s">
        <v>6252</v>
      </c>
      <c r="C291" s="19" t="s">
        <v>9517</v>
      </c>
      <c r="D291" s="19" t="s">
        <v>6914</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5216</v>
      </c>
      <c r="C293" s="19" t="s">
        <v>3720</v>
      </c>
      <c r="D293" s="34" t="s">
        <v>2384</v>
      </c>
      <c r="E293" s="19" t="s">
        <v>4082</v>
      </c>
      <c r="F293" s="19" t="s">
        <v>3982</v>
      </c>
      <c r="G293" s="19" t="s">
        <v>2119</v>
      </c>
      <c r="H293" s="19" t="s">
        <v>4129</v>
      </c>
      <c r="I293" s="19" t="s">
        <v>6368</v>
      </c>
      <c r="J293" s="19" t="s">
        <v>5380</v>
      </c>
      <c r="K293" s="19"/>
      <c r="L293" s="19"/>
    </row>
    <row r="294" spans="1:12" s="10" customFormat="1" x14ac:dyDescent="0.3">
      <c r="A294" s="19" t="s">
        <v>5787</v>
      </c>
      <c r="B294" s="19" t="s">
        <v>6172</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6855</v>
      </c>
      <c r="C295" s="19" t="s">
        <v>7114</v>
      </c>
      <c r="D295" s="34" t="s">
        <v>2539</v>
      </c>
      <c r="E295" s="19" t="s">
        <v>4033</v>
      </c>
      <c r="F295" s="19" t="s">
        <v>4078</v>
      </c>
      <c r="G295" s="19" t="s">
        <v>3442</v>
      </c>
      <c r="H295" s="19" t="s">
        <v>2884</v>
      </c>
      <c r="I295" s="19" t="s">
        <v>6602</v>
      </c>
      <c r="J295" s="19"/>
    </row>
    <row r="296" spans="1:12" s="10" customFormat="1" x14ac:dyDescent="0.3">
      <c r="A296" s="19" t="s">
        <v>5791</v>
      </c>
      <c r="B296" s="19" t="s">
        <v>6067</v>
      </c>
      <c r="C296" s="19" t="s">
        <v>4044</v>
      </c>
      <c r="D296" s="22" t="s">
        <v>4929</v>
      </c>
      <c r="E296" s="19"/>
      <c r="F296" s="19"/>
      <c r="G296" s="19"/>
      <c r="H296" s="19"/>
      <c r="I296" s="19"/>
      <c r="J296" s="19"/>
    </row>
    <row r="297" spans="1:12" s="10" customFormat="1" x14ac:dyDescent="0.3">
      <c r="A297" s="10" t="s">
        <v>2115</v>
      </c>
      <c r="B297" s="34" t="s">
        <v>7594</v>
      </c>
      <c r="C297" s="10" t="s">
        <v>2124</v>
      </c>
      <c r="D297" s="10" t="s">
        <v>2119</v>
      </c>
      <c r="E297" s="10" t="s">
        <v>7358</v>
      </c>
      <c r="F297" s="10" t="s">
        <v>5837</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5795</v>
      </c>
      <c r="B299" s="19" t="s">
        <v>5745</v>
      </c>
      <c r="C299" s="22" t="s">
        <v>2846</v>
      </c>
      <c r="D299" s="19" t="s">
        <v>5208</v>
      </c>
      <c r="E299" s="19" t="s">
        <v>6202</v>
      </c>
      <c r="F299" s="34" t="s">
        <v>1383</v>
      </c>
      <c r="G299" s="22" t="s">
        <v>9653</v>
      </c>
      <c r="H299" s="19"/>
      <c r="I299" s="19"/>
      <c r="J299" s="19"/>
      <c r="K299" s="19"/>
      <c r="L299" s="19"/>
    </row>
    <row r="300" spans="1:12" s="10" customFormat="1" x14ac:dyDescent="0.3">
      <c r="A300" s="10" t="s">
        <v>1008</v>
      </c>
      <c r="B300" s="34" t="s">
        <v>7594</v>
      </c>
      <c r="C300" s="10" t="s">
        <v>1021</v>
      </c>
      <c r="D300" s="10" t="s">
        <v>7056</v>
      </c>
      <c r="K300" s="19"/>
      <c r="L300" s="19"/>
    </row>
    <row r="301" spans="1:12" s="10" customFormat="1" x14ac:dyDescent="0.3">
      <c r="A301" s="19" t="s">
        <v>798</v>
      </c>
      <c r="B301" s="19" t="s">
        <v>786</v>
      </c>
      <c r="C301" s="19" t="s">
        <v>3001</v>
      </c>
      <c r="D301" s="22" t="s">
        <v>1008</v>
      </c>
      <c r="E301" s="34" t="s">
        <v>7261</v>
      </c>
      <c r="F301" s="19"/>
      <c r="G301" s="19"/>
      <c r="H301" s="19"/>
      <c r="I301" s="19"/>
      <c r="J301" s="19"/>
    </row>
    <row r="302" spans="1:12" s="10" customFormat="1" x14ac:dyDescent="0.3">
      <c r="A302" s="19" t="s">
        <v>3839</v>
      </c>
      <c r="B302" s="19" t="s">
        <v>5843</v>
      </c>
      <c r="C302" s="19" t="s">
        <v>1335</v>
      </c>
      <c r="D302" s="19" t="s">
        <v>7358</v>
      </c>
      <c r="E302" s="19" t="s">
        <v>6555</v>
      </c>
      <c r="F302" s="19"/>
      <c r="G302" s="19"/>
      <c r="H302" s="19"/>
      <c r="I302" s="19"/>
      <c r="J302" s="19"/>
      <c r="K302" s="19"/>
      <c r="L302" s="19"/>
    </row>
    <row r="303" spans="1:12" s="10" customFormat="1" x14ac:dyDescent="0.3">
      <c r="A303" s="19" t="s">
        <v>3846</v>
      </c>
      <c r="B303" s="10" t="s">
        <v>5532</v>
      </c>
      <c r="C303" s="34" t="s">
        <v>2551</v>
      </c>
      <c r="D303" s="10" t="s">
        <v>5490</v>
      </c>
      <c r="E303" s="21" t="s">
        <v>2384</v>
      </c>
      <c r="K303" s="19"/>
      <c r="L303" s="19"/>
    </row>
    <row r="304" spans="1:12" s="10" customFormat="1" x14ac:dyDescent="0.3">
      <c r="A304" s="10" t="s">
        <v>2779</v>
      </c>
      <c r="B304" s="10" t="s">
        <v>2762</v>
      </c>
      <c r="C304" s="35" t="s">
        <v>1678</v>
      </c>
      <c r="D304" s="10" t="s">
        <v>5326</v>
      </c>
      <c r="E304" s="10" t="s">
        <v>5071</v>
      </c>
      <c r="F304" s="10" t="s">
        <v>9654</v>
      </c>
      <c r="G304" s="35" t="s">
        <v>7643</v>
      </c>
      <c r="H304" s="10" t="s">
        <v>2768</v>
      </c>
      <c r="K304" s="19"/>
      <c r="L304" s="19"/>
    </row>
    <row r="305" spans="1:12" s="10" customFormat="1" x14ac:dyDescent="0.3">
      <c r="A305" s="19" t="s">
        <v>4369</v>
      </c>
      <c r="B305" s="19" t="s">
        <v>5065</v>
      </c>
      <c r="C305" s="19" t="s">
        <v>4129</v>
      </c>
      <c r="D305" s="20" t="s">
        <v>9469</v>
      </c>
      <c r="E305" s="19" t="s">
        <v>5951</v>
      </c>
      <c r="F305" s="19" t="s">
        <v>6368</v>
      </c>
      <c r="G305" s="19" t="s">
        <v>2292</v>
      </c>
      <c r="H305" s="19" t="s">
        <v>2156</v>
      </c>
      <c r="I305" s="19"/>
      <c r="J305" s="19"/>
    </row>
    <row r="306" spans="1:12" s="10" customFormat="1" x14ac:dyDescent="0.3">
      <c r="A306" s="19" t="s">
        <v>995</v>
      </c>
      <c r="B306" s="19" t="s">
        <v>4956</v>
      </c>
      <c r="C306" s="19" t="s">
        <v>6023</v>
      </c>
      <c r="D306" s="19"/>
      <c r="E306" s="19"/>
      <c r="F306" s="19"/>
      <c r="G306" s="19"/>
      <c r="H306" s="19"/>
      <c r="I306" s="19"/>
      <c r="J306" s="19"/>
      <c r="K306" s="19"/>
      <c r="L306" s="19"/>
    </row>
    <row r="307" spans="1:12" s="10" customFormat="1" x14ac:dyDescent="0.3">
      <c r="A307" s="19" t="s">
        <v>2607</v>
      </c>
      <c r="B307" s="19" t="s">
        <v>6498</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6872</v>
      </c>
      <c r="K308" s="19"/>
      <c r="L308" s="19"/>
    </row>
    <row r="309" spans="1:12" s="10" customFormat="1" x14ac:dyDescent="0.3">
      <c r="A309" s="10" t="s">
        <v>1648</v>
      </c>
      <c r="B309" s="10" t="s">
        <v>6373</v>
      </c>
      <c r="C309" s="10" t="s">
        <v>5866</v>
      </c>
      <c r="D309" s="10" t="s">
        <v>2811</v>
      </c>
      <c r="E309" s="10" t="s">
        <v>2008</v>
      </c>
      <c r="F309" s="10" t="s">
        <v>5870</v>
      </c>
      <c r="K309" s="19"/>
      <c r="L309" s="19"/>
    </row>
    <row r="310" spans="1:12" s="10" customFormat="1" x14ac:dyDescent="0.3">
      <c r="A310" s="19" t="s">
        <v>1106</v>
      </c>
      <c r="B310" s="19" t="s">
        <v>6572</v>
      </c>
      <c r="C310" s="19" t="s">
        <v>1077</v>
      </c>
      <c r="D310" s="19" t="s">
        <v>932</v>
      </c>
      <c r="E310" s="34" t="s">
        <v>2390</v>
      </c>
      <c r="F310" s="19" t="s">
        <v>5147</v>
      </c>
      <c r="G310" s="19"/>
      <c r="H310" s="19"/>
      <c r="I310" s="19"/>
      <c r="J310" s="19"/>
      <c r="K310" s="19"/>
      <c r="L310" s="19"/>
    </row>
    <row r="311" spans="1:12" s="10" customFormat="1" x14ac:dyDescent="0.3">
      <c r="A311" s="19" t="s">
        <v>6606</v>
      </c>
      <c r="B311" s="19" t="s">
        <v>6939</v>
      </c>
      <c r="C311" s="19" t="s">
        <v>3796</v>
      </c>
      <c r="D311" s="19" t="s">
        <v>3359</v>
      </c>
      <c r="E311" s="34" t="s">
        <v>2481</v>
      </c>
      <c r="F311" s="19"/>
      <c r="G311" s="19"/>
      <c r="H311" s="19"/>
      <c r="I311" s="19"/>
      <c r="J311" s="19"/>
    </row>
    <row r="312" spans="1:12" s="10" customFormat="1" x14ac:dyDescent="0.3">
      <c r="A312" s="19" t="s">
        <v>6614</v>
      </c>
      <c r="B312" s="22" t="s">
        <v>4600</v>
      </c>
      <c r="C312" s="22" t="s">
        <v>7413</v>
      </c>
      <c r="D312" s="22" t="s">
        <v>1661</v>
      </c>
      <c r="E312" s="19" t="s">
        <v>6876</v>
      </c>
      <c r="F312" s="19" t="s">
        <v>6483</v>
      </c>
      <c r="G312" s="19" t="s">
        <v>6560</v>
      </c>
      <c r="H312" s="19" t="s">
        <v>4857</v>
      </c>
      <c r="I312" s="19"/>
      <c r="J312" s="19"/>
    </row>
    <row r="313" spans="1:12" s="10" customFormat="1" x14ac:dyDescent="0.3">
      <c r="A313" s="10" t="s">
        <v>6622</v>
      </c>
      <c r="B313" s="10" t="s">
        <v>473</v>
      </c>
      <c r="C313" s="10" t="s">
        <v>2216</v>
      </c>
      <c r="D313" s="34" t="s">
        <v>1435</v>
      </c>
      <c r="E313" s="10" t="s">
        <v>5876</v>
      </c>
      <c r="K313" s="19"/>
      <c r="L313" s="19"/>
    </row>
    <row r="314" spans="1:12" s="10" customFormat="1" x14ac:dyDescent="0.3">
      <c r="A314" s="19" t="s">
        <v>6630</v>
      </c>
      <c r="B314" s="19" t="s">
        <v>1829</v>
      </c>
      <c r="C314" s="19" t="s">
        <v>1406</v>
      </c>
      <c r="D314" s="19"/>
      <c r="E314" s="19"/>
      <c r="F314" s="19"/>
      <c r="G314" s="19"/>
      <c r="H314" s="19"/>
      <c r="I314" s="19"/>
      <c r="J314" s="19"/>
      <c r="K314" s="19"/>
      <c r="L314" s="19"/>
    </row>
    <row r="315" spans="1:12" s="10" customFormat="1" x14ac:dyDescent="0.3">
      <c r="A315" s="19" t="s">
        <v>6634</v>
      </c>
      <c r="B315" s="19" t="s">
        <v>2820</v>
      </c>
      <c r="C315" s="22" t="s">
        <v>9507</v>
      </c>
      <c r="D315" s="10" t="s">
        <v>2800</v>
      </c>
      <c r="E315" s="19" t="s">
        <v>7246</v>
      </c>
      <c r="F315" s="19"/>
      <c r="G315" s="19"/>
      <c r="H315" s="19"/>
      <c r="I315" s="19"/>
      <c r="J315" s="19"/>
      <c r="K315" s="19"/>
      <c r="L315" s="19"/>
    </row>
    <row r="316" spans="1:12" s="10" customFormat="1" x14ac:dyDescent="0.3">
      <c r="A316" s="19" t="s">
        <v>6642</v>
      </c>
      <c r="B316" s="19" t="s">
        <v>832</v>
      </c>
      <c r="C316" s="19" t="s">
        <v>3228</v>
      </c>
      <c r="D316" s="19" t="s">
        <v>7170</v>
      </c>
      <c r="E316" s="19" t="s">
        <v>3218</v>
      </c>
      <c r="F316" s="19" t="s">
        <v>817</v>
      </c>
      <c r="G316" s="19"/>
      <c r="H316" s="19"/>
      <c r="I316" s="19"/>
      <c r="J316" s="19"/>
      <c r="K316" s="19"/>
      <c r="L316" s="19"/>
    </row>
    <row r="317" spans="1:12" s="10" customFormat="1" x14ac:dyDescent="0.3">
      <c r="A317" s="19" t="s">
        <v>2284</v>
      </c>
      <c r="B317" s="19" t="s">
        <v>458</v>
      </c>
      <c r="C317" s="19" t="s">
        <v>5912</v>
      </c>
      <c r="D317" s="19" t="s">
        <v>3865</v>
      </c>
      <c r="E317" s="19" t="s">
        <v>6772</v>
      </c>
      <c r="F317" s="19" t="s">
        <v>6222</v>
      </c>
      <c r="G317" s="19" t="s">
        <v>7135</v>
      </c>
      <c r="H317" s="19"/>
      <c r="I317" s="19"/>
      <c r="J317" s="19"/>
    </row>
    <row r="318" spans="1:12" s="10" customFormat="1" x14ac:dyDescent="0.3">
      <c r="A318" s="19" t="s">
        <v>6650</v>
      </c>
      <c r="B318" s="19" t="s">
        <v>4441</v>
      </c>
      <c r="C318" s="22" t="s">
        <v>73</v>
      </c>
      <c r="D318" s="22" t="s">
        <v>2445</v>
      </c>
      <c r="E318" s="19" t="s">
        <v>4369</v>
      </c>
      <c r="F318" s="19" t="s">
        <v>1829</v>
      </c>
      <c r="G318" s="19"/>
      <c r="H318" s="19"/>
      <c r="I318" s="19"/>
      <c r="J318" s="19"/>
      <c r="K318" s="19"/>
      <c r="L318" s="19"/>
    </row>
    <row r="319" spans="1:12" s="10" customFormat="1" x14ac:dyDescent="0.3">
      <c r="A319" s="19" t="s">
        <v>6656</v>
      </c>
      <c r="B319" s="34" t="s">
        <v>6622</v>
      </c>
      <c r="C319" s="34" t="s">
        <v>5923</v>
      </c>
      <c r="D319" s="34" t="s">
        <v>2216</v>
      </c>
      <c r="E319" s="10" t="s">
        <v>3481</v>
      </c>
      <c r="F319" s="10" t="s">
        <v>4065</v>
      </c>
      <c r="G319" s="10" t="s">
        <v>4960</v>
      </c>
      <c r="H319" s="10" t="s">
        <v>5528</v>
      </c>
      <c r="I319" s="10" t="s">
        <v>5087</v>
      </c>
      <c r="J319" s="10" t="s">
        <v>6487</v>
      </c>
      <c r="K319" s="19"/>
      <c r="L319" s="19"/>
    </row>
    <row r="320" spans="1:12" s="10" customFormat="1" x14ac:dyDescent="0.3">
      <c r="A320" s="19" t="s">
        <v>3886</v>
      </c>
      <c r="B320" s="10" t="s">
        <v>979</v>
      </c>
      <c r="C320" s="10" t="s">
        <v>3784</v>
      </c>
      <c r="D320" s="10" t="s">
        <v>3543</v>
      </c>
      <c r="E320" s="10" t="s">
        <v>6914</v>
      </c>
      <c r="F320" s="10" t="s">
        <v>3548</v>
      </c>
      <c r="G320" s="10" t="s">
        <v>4065</v>
      </c>
      <c r="H320" s="10" t="s">
        <v>1669</v>
      </c>
      <c r="I320" s="10" t="s">
        <v>4857</v>
      </c>
      <c r="J320" s="10" t="s">
        <v>880</v>
      </c>
      <c r="K320" s="19"/>
      <c r="L320" s="19"/>
    </row>
    <row r="321" spans="1:12" s="10" customFormat="1" x14ac:dyDescent="0.3">
      <c r="A321" s="19" t="s">
        <v>6664</v>
      </c>
      <c r="B321" s="19" t="s">
        <v>4033</v>
      </c>
      <c r="C321" s="22" t="s">
        <v>4078</v>
      </c>
      <c r="D321" s="22" t="s">
        <v>3442</v>
      </c>
      <c r="E321" s="19" t="s">
        <v>6104</v>
      </c>
      <c r="F321" s="19" t="s">
        <v>82</v>
      </c>
      <c r="G321" s="19" t="s">
        <v>6576</v>
      </c>
      <c r="H321" s="19" t="s">
        <v>34</v>
      </c>
      <c r="I321" s="19" t="s">
        <v>782</v>
      </c>
      <c r="J321" s="19"/>
      <c r="K321" s="19"/>
      <c r="L321" s="19"/>
    </row>
    <row r="322" spans="1:12" s="10" customFormat="1" x14ac:dyDescent="0.3">
      <c r="A322" s="19" t="s">
        <v>3889</v>
      </c>
      <c r="B322" s="19" t="s">
        <v>5983</v>
      </c>
      <c r="C322" s="19" t="s">
        <v>4770</v>
      </c>
      <c r="D322" s="19"/>
      <c r="E322" s="19"/>
      <c r="F322" s="19"/>
      <c r="G322" s="19"/>
      <c r="H322" s="19"/>
      <c r="I322" s="19"/>
      <c r="J322" s="19"/>
      <c r="K322" s="19"/>
      <c r="L322" s="21"/>
    </row>
    <row r="323" spans="1:12" s="10" customFormat="1" x14ac:dyDescent="0.3">
      <c r="A323" s="19" t="s">
        <v>6668</v>
      </c>
      <c r="B323" s="19" t="s">
        <v>4616</v>
      </c>
      <c r="C323" s="19" t="s">
        <v>5288</v>
      </c>
      <c r="D323" s="19" t="s">
        <v>73</v>
      </c>
      <c r="E323" s="22" t="s">
        <v>9520</v>
      </c>
      <c r="F323" s="19" t="s">
        <v>4290</v>
      </c>
      <c r="G323" s="19"/>
      <c r="H323" s="19"/>
      <c r="I323" s="19"/>
      <c r="J323" s="19"/>
      <c r="K323" s="19"/>
      <c r="L323" s="19"/>
    </row>
    <row r="324" spans="1:12" x14ac:dyDescent="0.3">
      <c r="A324" s="19" t="s">
        <v>6674</v>
      </c>
      <c r="B324" s="19" t="s">
        <v>7584</v>
      </c>
      <c r="C324" s="19" t="s">
        <v>3504</v>
      </c>
      <c r="D324" s="19" t="s">
        <v>3942</v>
      </c>
      <c r="E324" s="19" t="s">
        <v>7374</v>
      </c>
      <c r="F324" s="19"/>
      <c r="G324" s="19"/>
      <c r="H324" s="19"/>
      <c r="I324" s="19"/>
      <c r="J324" s="19"/>
    </row>
    <row r="325" spans="1:12" x14ac:dyDescent="0.3">
      <c r="A325" s="19" t="s">
        <v>3897</v>
      </c>
      <c r="B325" s="10" t="s">
        <v>5855</v>
      </c>
      <c r="C325" s="10" t="s">
        <v>446</v>
      </c>
      <c r="D325" s="10" t="s">
        <v>458</v>
      </c>
      <c r="E325" s="10" t="s">
        <v>6715</v>
      </c>
      <c r="F325" s="10" t="s">
        <v>535</v>
      </c>
      <c r="G325" s="10" t="s">
        <v>544</v>
      </c>
      <c r="H325" s="10" t="s">
        <v>4065</v>
      </c>
      <c r="I325" s="10" t="s">
        <v>6994</v>
      </c>
      <c r="J325" s="10" t="s">
        <v>4980</v>
      </c>
    </row>
    <row r="326" spans="1:12" x14ac:dyDescent="0.3">
      <c r="A326" s="19" t="s">
        <v>3901</v>
      </c>
      <c r="B326" s="19" t="s">
        <v>5983</v>
      </c>
      <c r="C326" s="19" t="s">
        <v>4770</v>
      </c>
      <c r="D326" s="19"/>
      <c r="E326" s="19"/>
      <c r="F326" s="19"/>
      <c r="G326" s="19"/>
      <c r="H326" s="19"/>
      <c r="I326" s="19"/>
      <c r="J326" s="19"/>
    </row>
    <row r="327" spans="1:12" x14ac:dyDescent="0.3">
      <c r="A327" s="19" t="s">
        <v>3908</v>
      </c>
      <c r="B327" s="19" t="s">
        <v>4738</v>
      </c>
      <c r="C327" s="19" t="s">
        <v>5990</v>
      </c>
      <c r="D327" s="19"/>
      <c r="E327" s="19"/>
      <c r="F327" s="19"/>
      <c r="G327" s="19"/>
      <c r="H327" s="19"/>
      <c r="I327" s="19"/>
      <c r="J327" s="19"/>
    </row>
    <row r="328" spans="1:12" ht="16.2" x14ac:dyDescent="0.35">
      <c r="A328" s="19" t="s">
        <v>3249</v>
      </c>
      <c r="B328" s="19" t="s">
        <v>3233</v>
      </c>
      <c r="C328" s="19" t="s">
        <v>569</v>
      </c>
      <c r="D328" s="34" t="s">
        <v>577</v>
      </c>
      <c r="E328" s="34" t="s">
        <v>9483</v>
      </c>
      <c r="F328" s="19" t="s">
        <v>4445</v>
      </c>
      <c r="G328" s="19" t="s">
        <v>5667</v>
      </c>
      <c r="H328" s="24" t="s">
        <v>2584</v>
      </c>
      <c r="I328" s="19"/>
      <c r="J328" s="19"/>
    </row>
    <row r="329" spans="1:12" x14ac:dyDescent="0.3">
      <c r="A329" s="19" t="s">
        <v>6678</v>
      </c>
      <c r="B329" s="19" t="s">
        <v>5244</v>
      </c>
      <c r="C329" s="19" t="s">
        <v>3434</v>
      </c>
      <c r="D329" s="19" t="s">
        <v>29</v>
      </c>
      <c r="E329" s="19" t="s">
        <v>2721</v>
      </c>
      <c r="F329" s="19"/>
      <c r="G329" s="19"/>
      <c r="H329" s="19"/>
      <c r="I329" s="19"/>
      <c r="J329" s="19"/>
    </row>
    <row r="330" spans="1:12" x14ac:dyDescent="0.3">
      <c r="A330" s="19" t="s">
        <v>319</v>
      </c>
      <c r="B330" s="19" t="s">
        <v>7198</v>
      </c>
      <c r="C330" s="19" t="s">
        <v>5466</v>
      </c>
      <c r="D330" s="19" t="s">
        <v>34</v>
      </c>
      <c r="E330" s="19" t="s">
        <v>2846</v>
      </c>
      <c r="F330" s="19" t="s">
        <v>2834</v>
      </c>
      <c r="G330" s="19" t="s">
        <v>569</v>
      </c>
      <c r="H330" s="19" t="s">
        <v>577</v>
      </c>
      <c r="I330" s="19" t="s">
        <v>553</v>
      </c>
      <c r="J330" s="34" t="s">
        <v>561</v>
      </c>
    </row>
    <row r="331" spans="1:12" x14ac:dyDescent="0.3">
      <c r="A331" s="19" t="s">
        <v>6684</v>
      </c>
      <c r="B331" s="19" t="s">
        <v>6067</v>
      </c>
      <c r="C331" s="19" t="s">
        <v>416</v>
      </c>
      <c r="D331" s="19" t="s">
        <v>5693</v>
      </c>
      <c r="E331" s="19" t="s">
        <v>3865</v>
      </c>
      <c r="F331" s="19" t="s">
        <v>4894</v>
      </c>
      <c r="G331" s="19" t="s">
        <v>2256</v>
      </c>
      <c r="H331" s="19"/>
      <c r="I331" s="19"/>
      <c r="J331" s="19"/>
    </row>
    <row r="332" spans="1:12" s="10" customFormat="1" x14ac:dyDescent="0.3">
      <c r="A332" s="26" t="s">
        <v>6692</v>
      </c>
      <c r="B332" s="26" t="s">
        <v>5768</v>
      </c>
      <c r="C332" s="26" t="s">
        <v>6380</v>
      </c>
      <c r="D332" s="26" t="s">
        <v>7436</v>
      </c>
      <c r="E332" s="26" t="s">
        <v>3603</v>
      </c>
      <c r="F332" s="26" t="s">
        <v>6914</v>
      </c>
      <c r="G332" s="26" t="s">
        <v>3548</v>
      </c>
      <c r="H332" s="26" t="s">
        <v>3414</v>
      </c>
      <c r="I332" s="26" t="s">
        <v>4543</v>
      </c>
      <c r="J332" s="26"/>
    </row>
    <row r="333" spans="1:12" s="10" customFormat="1" x14ac:dyDescent="0.3">
      <c r="A333" s="26" t="s">
        <v>6697</v>
      </c>
      <c r="B333" s="26" t="s">
        <v>69</v>
      </c>
      <c r="C333" s="26" t="s">
        <v>4180</v>
      </c>
      <c r="D333" s="26" t="s">
        <v>82</v>
      </c>
      <c r="E333" s="26" t="s">
        <v>1622</v>
      </c>
      <c r="F333" s="26" t="s">
        <v>5893</v>
      </c>
      <c r="G333" s="26"/>
      <c r="H333" s="26"/>
      <c r="I333" s="26"/>
      <c r="J333" s="26"/>
    </row>
    <row r="334" spans="1:12" x14ac:dyDescent="0.3">
      <c r="A334" s="26" t="s">
        <v>2629</v>
      </c>
      <c r="B334" s="26" t="s">
        <v>2439</v>
      </c>
    </row>
    <row r="335" spans="1:12" s="10" customFormat="1" x14ac:dyDescent="0.35">
      <c r="A335" s="26" t="s">
        <v>1025</v>
      </c>
      <c r="B335" s="26" t="s">
        <v>7594</v>
      </c>
      <c r="C335" s="27" t="s">
        <v>9513</v>
      </c>
      <c r="D335" s="26" t="s">
        <v>1077</v>
      </c>
      <c r="E335" s="26" t="s">
        <v>2124</v>
      </c>
      <c r="F335" s="26" t="s">
        <v>2119</v>
      </c>
      <c r="G335" s="26"/>
      <c r="H335" s="26"/>
      <c r="I335" s="26"/>
      <c r="J335" s="26"/>
    </row>
    <row r="336" spans="1:12" s="10" customFormat="1" x14ac:dyDescent="0.3">
      <c r="A336" s="26" t="s">
        <v>6706</v>
      </c>
      <c r="B336" s="26" t="s">
        <v>242</v>
      </c>
      <c r="C336" s="26" t="s">
        <v>1340</v>
      </c>
      <c r="D336" s="26" t="s">
        <v>1345</v>
      </c>
      <c r="E336" s="26" t="s">
        <v>1355</v>
      </c>
      <c r="F336" s="26" t="s">
        <v>5843</v>
      </c>
      <c r="G336" s="26"/>
      <c r="H336" s="26"/>
      <c r="I336" s="26"/>
      <c r="J336" s="26"/>
    </row>
    <row r="337" spans="1:10" x14ac:dyDescent="0.35">
      <c r="A337" s="26" t="s">
        <v>3172</v>
      </c>
      <c r="B337" s="27" t="s">
        <v>2433</v>
      </c>
      <c r="C337" s="26" t="s">
        <v>5326</v>
      </c>
      <c r="D337" s="26" t="s">
        <v>1678</v>
      </c>
      <c r="E337" s="26" t="s">
        <v>702</v>
      </c>
      <c r="F337" s="24" t="s">
        <v>767</v>
      </c>
      <c r="G337" s="26" t="s">
        <v>779</v>
      </c>
      <c r="H337" s="26" t="s">
        <v>794</v>
      </c>
    </row>
    <row r="338" spans="1:10" x14ac:dyDescent="0.35">
      <c r="A338" s="26" t="s">
        <v>446</v>
      </c>
      <c r="B338" s="27" t="s">
        <v>5855</v>
      </c>
      <c r="C338" s="26" t="s">
        <v>458</v>
      </c>
    </row>
    <row r="339" spans="1:10" x14ac:dyDescent="0.3">
      <c r="A339" s="19" t="s">
        <v>6709</v>
      </c>
      <c r="B339" s="10" t="s">
        <v>6622</v>
      </c>
      <c r="C339" s="10" t="s">
        <v>5779</v>
      </c>
      <c r="D339" s="10" t="s">
        <v>3865</v>
      </c>
      <c r="E339" s="10" t="s">
        <v>6824</v>
      </c>
      <c r="F339" s="10" t="s">
        <v>5020</v>
      </c>
      <c r="G339" s="10" t="s">
        <v>4960</v>
      </c>
      <c r="H339" s="10"/>
      <c r="I339" s="10"/>
      <c r="J339" s="10"/>
    </row>
    <row r="340" spans="1:10" x14ac:dyDescent="0.3">
      <c r="A340" s="10" t="s">
        <v>3359</v>
      </c>
      <c r="B340" s="10" t="s">
        <v>34</v>
      </c>
      <c r="C340" s="10" t="s">
        <v>6939</v>
      </c>
      <c r="D340" s="10" t="s">
        <v>3796</v>
      </c>
      <c r="E340" s="10"/>
      <c r="F340" s="10"/>
      <c r="G340" s="10"/>
      <c r="H340" s="10"/>
      <c r="I340" s="10"/>
      <c r="J340" s="10"/>
    </row>
    <row r="341" spans="1:10" x14ac:dyDescent="0.3">
      <c r="A341" s="26" t="s">
        <v>6738</v>
      </c>
    </row>
    <row r="342" spans="1:10" x14ac:dyDescent="0.3">
      <c r="A342" s="10" t="s">
        <v>1778</v>
      </c>
      <c r="B342" s="10" t="s">
        <v>3536</v>
      </c>
      <c r="C342" s="10" t="s">
        <v>9614</v>
      </c>
      <c r="D342" s="10" t="s">
        <v>4600</v>
      </c>
      <c r="E342" s="10"/>
      <c r="F342" s="10"/>
      <c r="G342" s="10"/>
      <c r="H342" s="10"/>
      <c r="I342" s="10"/>
      <c r="J342" s="10"/>
    </row>
    <row r="343" spans="1:10" s="10" customFormat="1" x14ac:dyDescent="0.3">
      <c r="A343" s="10" t="s">
        <v>3233</v>
      </c>
      <c r="B343" s="10" t="s">
        <v>2846</v>
      </c>
      <c r="C343" s="10" t="s">
        <v>5996</v>
      </c>
      <c r="D343" s="10" t="s">
        <v>5905</v>
      </c>
      <c r="E343" s="10" t="s">
        <v>1450</v>
      </c>
    </row>
    <row r="344" spans="1:10" x14ac:dyDescent="0.3">
      <c r="A344" s="26" t="s">
        <v>3132</v>
      </c>
      <c r="B344" s="26" t="s">
        <v>9513</v>
      </c>
      <c r="C344" s="26" t="s">
        <v>1003</v>
      </c>
      <c r="D344" s="26" t="s">
        <v>6914</v>
      </c>
      <c r="E344" s="26" t="s">
        <v>23</v>
      </c>
      <c r="F344" s="26" t="s">
        <v>3548</v>
      </c>
      <c r="G344" s="26" t="s">
        <v>7742</v>
      </c>
    </row>
    <row r="345" spans="1:10" x14ac:dyDescent="0.3">
      <c r="A345" s="26" t="s">
        <v>6742</v>
      </c>
      <c r="B345" s="26" t="s">
        <v>34</v>
      </c>
      <c r="C345" s="26" t="s">
        <v>3218</v>
      </c>
      <c r="D345" s="26" t="s">
        <v>5912</v>
      </c>
      <c r="E345" s="26" t="s">
        <v>7146</v>
      </c>
    </row>
    <row r="346" spans="1:10" x14ac:dyDescent="0.3">
      <c r="A346" s="26" t="s">
        <v>924</v>
      </c>
      <c r="B346" s="26" t="s">
        <v>936</v>
      </c>
      <c r="C346" s="26" t="s">
        <v>912</v>
      </c>
      <c r="D346" s="26" t="s">
        <v>1669</v>
      </c>
      <c r="E346" s="26" t="s">
        <v>6731</v>
      </c>
      <c r="F346" s="26" t="s">
        <v>6602</v>
      </c>
      <c r="G346" s="26" t="s">
        <v>920</v>
      </c>
      <c r="H346" s="26" t="s">
        <v>928</v>
      </c>
      <c r="I346" s="26" t="s">
        <v>932</v>
      </c>
    </row>
    <row r="347" spans="1:10" x14ac:dyDescent="0.35">
      <c r="A347" s="26" t="s">
        <v>6750</v>
      </c>
      <c r="B347" s="27" t="s">
        <v>1661</v>
      </c>
      <c r="C347" s="27" t="s">
        <v>900</v>
      </c>
      <c r="D347" s="27" t="s">
        <v>2380</v>
      </c>
      <c r="E347" s="26" t="s">
        <v>1639</v>
      </c>
    </row>
    <row r="348" spans="1:10" x14ac:dyDescent="0.35">
      <c r="A348" s="26" t="s">
        <v>3930</v>
      </c>
      <c r="B348" s="26" t="s">
        <v>4075</v>
      </c>
      <c r="C348" s="25" t="s">
        <v>3687</v>
      </c>
      <c r="D348" s="27" t="s">
        <v>6709</v>
      </c>
    </row>
    <row r="349" spans="1:10" x14ac:dyDescent="0.3">
      <c r="A349" s="26" t="s">
        <v>6761</v>
      </c>
      <c r="B349" s="26" t="s">
        <v>5094</v>
      </c>
      <c r="C349" s="26" t="s">
        <v>4547</v>
      </c>
      <c r="D349" s="26" t="s">
        <v>2852</v>
      </c>
      <c r="E349" s="26" t="s">
        <v>5201</v>
      </c>
      <c r="F349" s="26" t="s">
        <v>5855</v>
      </c>
    </row>
    <row r="350" spans="1:10" x14ac:dyDescent="0.3">
      <c r="A350" s="19" t="s">
        <v>6767</v>
      </c>
      <c r="B350" s="34" t="s">
        <v>415</v>
      </c>
      <c r="C350" s="34" t="s">
        <v>6781</v>
      </c>
      <c r="D350" s="10" t="s">
        <v>3652</v>
      </c>
      <c r="E350" s="10"/>
      <c r="F350" s="10"/>
      <c r="G350" s="10"/>
      <c r="H350" s="10"/>
      <c r="I350" s="10"/>
      <c r="J350" s="10"/>
    </row>
    <row r="351" spans="1:10" s="10" customFormat="1" x14ac:dyDescent="0.3">
      <c r="A351" s="26" t="s">
        <v>3936</v>
      </c>
      <c r="B351" s="26" t="s">
        <v>7436</v>
      </c>
      <c r="C351" s="26" t="s">
        <v>3603</v>
      </c>
      <c r="D351" s="26" t="s">
        <v>6692</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5679</v>
      </c>
      <c r="C353" s="26" t="s">
        <v>5719</v>
      </c>
      <c r="D353" s="26" t="s">
        <v>4373</v>
      </c>
      <c r="E353" s="26" t="s">
        <v>5729</v>
      </c>
    </row>
    <row r="354" spans="1:10" x14ac:dyDescent="0.35">
      <c r="A354" s="26" t="s">
        <v>9589</v>
      </c>
      <c r="B354" s="26" t="s">
        <v>4445</v>
      </c>
      <c r="C354" s="27"/>
      <c r="D354" s="27"/>
    </row>
    <row r="355" spans="1:10" x14ac:dyDescent="0.35">
      <c r="A355" s="26" t="s">
        <v>4373</v>
      </c>
      <c r="B355" s="26" t="s">
        <v>5679</v>
      </c>
      <c r="C355" s="26" t="s">
        <v>5729</v>
      </c>
      <c r="D355" s="27" t="s">
        <v>5719</v>
      </c>
    </row>
    <row r="356" spans="1:10" s="10" customFormat="1" x14ac:dyDescent="0.35">
      <c r="A356" s="26" t="s">
        <v>2256</v>
      </c>
      <c r="B356" s="26" t="s">
        <v>458</v>
      </c>
      <c r="C356" s="25" t="s">
        <v>4894</v>
      </c>
      <c r="D356" s="26" t="s">
        <v>5693</v>
      </c>
      <c r="E356" s="26" t="s">
        <v>416</v>
      </c>
      <c r="F356" s="25"/>
      <c r="G356" s="27"/>
      <c r="H356" s="26"/>
      <c r="I356" s="26"/>
      <c r="J356" s="26"/>
    </row>
    <row r="357" spans="1:10" s="10" customFormat="1" x14ac:dyDescent="0.3">
      <c r="A357" s="26" t="s">
        <v>4379</v>
      </c>
      <c r="B357" s="26" t="s">
        <v>6067</v>
      </c>
      <c r="C357" s="26" t="s">
        <v>3414</v>
      </c>
      <c r="D357" s="26" t="s">
        <v>5693</v>
      </c>
      <c r="E357" s="26" t="s">
        <v>2256</v>
      </c>
      <c r="F357" s="25" t="s">
        <v>7014</v>
      </c>
      <c r="G357" s="26"/>
      <c r="H357" s="26"/>
      <c r="I357" s="26"/>
      <c r="J357" s="26"/>
    </row>
    <row r="358" spans="1:10" x14ac:dyDescent="0.35">
      <c r="A358" s="26" t="s">
        <v>4383</v>
      </c>
      <c r="B358" s="27" t="s">
        <v>5028</v>
      </c>
      <c r="C358" s="27" t="s">
        <v>5445</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5413</v>
      </c>
      <c r="C360" s="26" t="s">
        <v>4909</v>
      </c>
      <c r="D360" s="26" t="s">
        <v>3308</v>
      </c>
      <c r="E360" s="26" t="s">
        <v>2204</v>
      </c>
    </row>
    <row r="361" spans="1:10" s="10" customFormat="1" x14ac:dyDescent="0.3">
      <c r="A361" s="26" t="s">
        <v>4395</v>
      </c>
      <c r="B361" s="26" t="s">
        <v>6709</v>
      </c>
      <c r="C361" s="26" t="s">
        <v>5779</v>
      </c>
      <c r="D361" s="26" t="s">
        <v>6622</v>
      </c>
      <c r="E361" s="26" t="s">
        <v>5923</v>
      </c>
      <c r="F361" s="26"/>
      <c r="G361" s="26"/>
      <c r="H361" s="26"/>
      <c r="I361" s="26"/>
      <c r="J361" s="26"/>
    </row>
    <row r="362" spans="1:10" s="10" customFormat="1" x14ac:dyDescent="0.35">
      <c r="A362" s="26" t="s">
        <v>1319</v>
      </c>
      <c r="B362" s="26" t="s">
        <v>1169</v>
      </c>
      <c r="C362" s="27" t="s">
        <v>9613</v>
      </c>
      <c r="D362" s="27" t="s">
        <v>3753</v>
      </c>
      <c r="E362" s="27" t="s">
        <v>1293</v>
      </c>
      <c r="F362" s="26" t="s">
        <v>1298</v>
      </c>
      <c r="G362" s="26" t="s">
        <v>7509</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6985</v>
      </c>
      <c r="E365" s="10" t="s">
        <v>3966</v>
      </c>
      <c r="F365" s="10" t="s">
        <v>6277</v>
      </c>
      <c r="G365" s="10" t="s">
        <v>3355</v>
      </c>
      <c r="H365" s="10" t="s">
        <v>10076</v>
      </c>
      <c r="I365" s="10" t="s">
        <v>1669</v>
      </c>
      <c r="J365" s="10" t="s">
        <v>6560</v>
      </c>
    </row>
    <row r="366" spans="1:10" x14ac:dyDescent="0.35">
      <c r="A366" s="26" t="s">
        <v>5799</v>
      </c>
      <c r="B366" s="26" t="s">
        <v>5970</v>
      </c>
      <c r="C366" s="26" t="s">
        <v>2433</v>
      </c>
      <c r="D366" s="27" t="s">
        <v>2309</v>
      </c>
      <c r="E366" s="26" t="s">
        <v>3393</v>
      </c>
      <c r="F366" s="26" t="s">
        <v>7477</v>
      </c>
      <c r="G366" s="26" t="s">
        <v>2846</v>
      </c>
      <c r="H366" s="26" t="s">
        <v>2317</v>
      </c>
    </row>
    <row r="367" spans="1:10" s="10" customFormat="1" x14ac:dyDescent="0.3">
      <c r="A367" s="10" t="s">
        <v>278</v>
      </c>
      <c r="B367" s="10" t="s">
        <v>4180</v>
      </c>
      <c r="C367" s="10" t="s">
        <v>1175</v>
      </c>
      <c r="D367" s="34" t="s">
        <v>1180</v>
      </c>
      <c r="E367" s="34" t="s">
        <v>1190</v>
      </c>
      <c r="F367" s="10" t="s">
        <v>1185</v>
      </c>
      <c r="G367" s="10" t="s">
        <v>5575</v>
      </c>
      <c r="H367" s="10" t="s">
        <v>2825</v>
      </c>
      <c r="I367" s="10" t="s">
        <v>2859</v>
      </c>
      <c r="J367" s="10" t="s">
        <v>2233</v>
      </c>
    </row>
    <row r="368" spans="1:10" x14ac:dyDescent="0.3">
      <c r="A368" s="26" t="s">
        <v>4407</v>
      </c>
      <c r="B368" s="26" t="s">
        <v>5983</v>
      </c>
      <c r="C368" s="26" t="s">
        <v>9535</v>
      </c>
      <c r="D368" s="26" t="s">
        <v>944</v>
      </c>
      <c r="E368" s="26" t="s">
        <v>2721</v>
      </c>
      <c r="F368" s="26" t="s">
        <v>29</v>
      </c>
    </row>
    <row r="369" spans="1:10" x14ac:dyDescent="0.3">
      <c r="A369" s="10" t="s">
        <v>1665</v>
      </c>
      <c r="B369" s="10" t="s">
        <v>4424</v>
      </c>
      <c r="C369" s="10" t="s">
        <v>4211</v>
      </c>
      <c r="D369" s="10" t="s">
        <v>7635</v>
      </c>
      <c r="E369" s="34" t="s">
        <v>3397</v>
      </c>
      <c r="F369" s="34" t="s">
        <v>3401</v>
      </c>
      <c r="G369" s="10"/>
      <c r="H369" s="10"/>
      <c r="I369" s="10"/>
      <c r="J369" s="10"/>
    </row>
    <row r="370" spans="1:10" x14ac:dyDescent="0.3">
      <c r="A370" s="10" t="s">
        <v>9494</v>
      </c>
      <c r="B370" s="19" t="s">
        <v>4407</v>
      </c>
      <c r="C370" s="19" t="s">
        <v>4600</v>
      </c>
      <c r="D370" s="19" t="s">
        <v>678</v>
      </c>
      <c r="E370" s="19" t="s">
        <v>9473</v>
      </c>
      <c r="F370" s="19"/>
      <c r="G370" s="19"/>
      <c r="H370" s="19"/>
      <c r="I370" s="19"/>
      <c r="J370" s="19"/>
    </row>
    <row r="371" spans="1:10" s="10" customFormat="1" x14ac:dyDescent="0.3">
      <c r="A371" s="10" t="s">
        <v>9410</v>
      </c>
      <c r="B371" s="10" t="s">
        <v>6067</v>
      </c>
      <c r="C371" s="10" t="s">
        <v>3865</v>
      </c>
      <c r="D371" s="10" t="s">
        <v>5713</v>
      </c>
      <c r="E371" s="10" t="s">
        <v>6404</v>
      </c>
      <c r="F371" s="10" t="s">
        <v>5912</v>
      </c>
      <c r="G371" s="10" t="s">
        <v>5520</v>
      </c>
      <c r="H371" s="10" t="s">
        <v>6622</v>
      </c>
    </row>
    <row r="372" spans="1:10" x14ac:dyDescent="0.3">
      <c r="A372" s="10" t="s">
        <v>9400</v>
      </c>
      <c r="B372" s="10" t="s">
        <v>2811</v>
      </c>
      <c r="C372" s="10" t="s">
        <v>2820</v>
      </c>
      <c r="D372" s="34" t="s">
        <v>2044</v>
      </c>
      <c r="E372" s="34" t="s">
        <v>2361</v>
      </c>
      <c r="F372" s="10" t="s">
        <v>2800</v>
      </c>
      <c r="G372" s="10" t="s">
        <v>5450</v>
      </c>
      <c r="H372" s="10" t="s">
        <v>2804</v>
      </c>
      <c r="I372" s="10"/>
      <c r="J372" s="10"/>
    </row>
    <row r="373" spans="1:10" x14ac:dyDescent="0.35">
      <c r="A373" s="26" t="s">
        <v>1723</v>
      </c>
      <c r="B373" s="26" t="s">
        <v>3028</v>
      </c>
      <c r="C373" s="26" t="s">
        <v>5591</v>
      </c>
      <c r="D373" s="26" t="s">
        <v>6552</v>
      </c>
      <c r="G373" s="27"/>
    </row>
    <row r="374" spans="1:10" x14ac:dyDescent="0.35">
      <c r="A374" s="26" t="s">
        <v>4416</v>
      </c>
      <c r="B374" s="26" t="s">
        <v>1029</v>
      </c>
      <c r="C374" s="26" t="s">
        <v>4622</v>
      </c>
      <c r="D374" s="24" t="s">
        <v>9469</v>
      </c>
    </row>
    <row r="375" spans="1:10" x14ac:dyDescent="0.3">
      <c r="A375" s="26" t="s">
        <v>5807</v>
      </c>
      <c r="B375" s="26" t="s">
        <v>7617</v>
      </c>
      <c r="C375" s="26" t="s">
        <v>6572</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5811</v>
      </c>
      <c r="B377" s="26" t="s">
        <v>6789</v>
      </c>
      <c r="C377" s="26" t="s">
        <v>670</v>
      </c>
      <c r="D377" s="26" t="s">
        <v>2225</v>
      </c>
      <c r="E377" s="26" t="s">
        <v>832</v>
      </c>
      <c r="F377" s="26" t="s">
        <v>7170</v>
      </c>
      <c r="G377" s="26" t="s">
        <v>9526</v>
      </c>
    </row>
    <row r="378" spans="1:10" x14ac:dyDescent="0.3">
      <c r="A378" s="26" t="s">
        <v>4420</v>
      </c>
      <c r="B378" s="26" t="s">
        <v>5983</v>
      </c>
      <c r="C378" s="26" t="s">
        <v>9528</v>
      </c>
      <c r="D378" s="26" t="s">
        <v>968</v>
      </c>
    </row>
    <row r="379" spans="1:10" s="10" customFormat="1" x14ac:dyDescent="0.35">
      <c r="A379" s="26" t="s">
        <v>4424</v>
      </c>
      <c r="B379" s="26" t="s">
        <v>1665</v>
      </c>
      <c r="C379" s="27" t="s">
        <v>1686</v>
      </c>
      <c r="D379" s="27" t="s">
        <v>5267</v>
      </c>
      <c r="E379" s="26" t="s">
        <v>5429</v>
      </c>
      <c r="F379" s="26" t="s">
        <v>9531</v>
      </c>
      <c r="G379" s="26"/>
      <c r="H379" s="26"/>
      <c r="I379" s="26"/>
      <c r="J379" s="26"/>
    </row>
    <row r="380" spans="1:10" x14ac:dyDescent="0.3">
      <c r="A380" s="10" t="s">
        <v>2804</v>
      </c>
      <c r="B380" s="10" t="s">
        <v>2811</v>
      </c>
      <c r="C380" s="10" t="s">
        <v>5450</v>
      </c>
      <c r="D380" s="10" t="s">
        <v>1842</v>
      </c>
      <c r="E380" s="10" t="s">
        <v>2094</v>
      </c>
      <c r="F380" s="10"/>
      <c r="G380" s="10"/>
      <c r="H380" s="10"/>
      <c r="I380" s="10"/>
      <c r="J380" s="10"/>
    </row>
    <row r="381" spans="1:10" x14ac:dyDescent="0.3">
      <c r="A381" s="26" t="s">
        <v>4428</v>
      </c>
      <c r="B381" s="26" t="s">
        <v>3658</v>
      </c>
      <c r="C381" s="26" t="s">
        <v>4956</v>
      </c>
      <c r="D381" s="26" t="s">
        <v>6023</v>
      </c>
    </row>
    <row r="382" spans="1:10" s="10" customFormat="1" x14ac:dyDescent="0.35">
      <c r="A382" s="26" t="s">
        <v>5815</v>
      </c>
      <c r="B382" s="26" t="s">
        <v>4738</v>
      </c>
      <c r="C382" s="24" t="s">
        <v>2481</v>
      </c>
      <c r="D382" s="26" t="s">
        <v>4824</v>
      </c>
      <c r="E382" s="26" t="s">
        <v>6511</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6650</v>
      </c>
      <c r="E384" s="26"/>
      <c r="F384" s="26"/>
      <c r="G384" s="26"/>
      <c r="H384" s="26"/>
      <c r="I384" s="26"/>
      <c r="J384" s="26"/>
    </row>
    <row r="385" spans="1:10" x14ac:dyDescent="0.3">
      <c r="A385" s="10" t="s">
        <v>1608</v>
      </c>
      <c r="B385" s="10" t="s">
        <v>69</v>
      </c>
      <c r="C385" s="34" t="s">
        <v>2820</v>
      </c>
      <c r="D385" s="34" t="s">
        <v>4921</v>
      </c>
      <c r="E385" s="10" t="s">
        <v>1622</v>
      </c>
      <c r="F385" s="10" t="s">
        <v>6697</v>
      </c>
      <c r="G385" s="10"/>
      <c r="H385" s="10"/>
      <c r="I385" s="10"/>
      <c r="J385" s="10"/>
    </row>
    <row r="386" spans="1:10" s="10" customFormat="1" x14ac:dyDescent="0.35">
      <c r="A386" s="26" t="s">
        <v>4445</v>
      </c>
      <c r="B386" s="27" t="s">
        <v>415</v>
      </c>
      <c r="C386" s="27" t="s">
        <v>2636</v>
      </c>
      <c r="D386" s="26" t="s">
        <v>6758</v>
      </c>
      <c r="E386" s="26"/>
      <c r="F386" s="26"/>
      <c r="G386" s="26"/>
      <c r="H386" s="26"/>
      <c r="I386" s="26"/>
      <c r="J386" s="26"/>
    </row>
    <row r="387" spans="1:10" s="10" customFormat="1" x14ac:dyDescent="0.35">
      <c r="A387" s="26" t="s">
        <v>4450</v>
      </c>
      <c r="B387" s="26" t="s">
        <v>458</v>
      </c>
      <c r="C387" s="27" t="s">
        <v>6966</v>
      </c>
      <c r="D387" s="27" t="s">
        <v>4956</v>
      </c>
      <c r="E387" s="26" t="s">
        <v>6023</v>
      </c>
      <c r="F387" s="26" t="s">
        <v>6715</v>
      </c>
      <c r="G387" s="26" t="s">
        <v>666</v>
      </c>
      <c r="H387" s="26" t="s">
        <v>642</v>
      </c>
      <c r="I387" s="26" t="s">
        <v>686</v>
      </c>
      <c r="J387" s="26"/>
    </row>
    <row r="388" spans="1:10" x14ac:dyDescent="0.3">
      <c r="A388" s="10" t="s">
        <v>713</v>
      </c>
      <c r="B388" s="10" t="s">
        <v>702</v>
      </c>
      <c r="C388" s="10" t="s">
        <v>6914</v>
      </c>
      <c r="D388" s="10"/>
      <c r="E388" s="10"/>
      <c r="F388" s="10"/>
      <c r="G388" s="10"/>
      <c r="H388" s="10"/>
      <c r="I388" s="10"/>
      <c r="J388" s="10"/>
    </row>
    <row r="389" spans="1:10" x14ac:dyDescent="0.3">
      <c r="A389" s="26" t="s">
        <v>1911</v>
      </c>
      <c r="B389" s="26" t="s">
        <v>1935</v>
      </c>
    </row>
    <row r="390" spans="1:10" x14ac:dyDescent="0.3">
      <c r="A390" s="26" t="s">
        <v>1303</v>
      </c>
      <c r="B390" s="26" t="s">
        <v>6175</v>
      </c>
      <c r="C390" s="26" t="s">
        <v>1169</v>
      </c>
      <c r="D390" s="26" t="s">
        <v>1331</v>
      </c>
      <c r="E390" s="26" t="s">
        <v>7509</v>
      </c>
    </row>
    <row r="391" spans="1:10" s="10" customFormat="1" x14ac:dyDescent="0.3">
      <c r="A391" s="10" t="s">
        <v>1872</v>
      </c>
      <c r="B391" s="10" t="s">
        <v>1842</v>
      </c>
      <c r="C391" s="10" t="s">
        <v>2357</v>
      </c>
      <c r="D391" s="34" t="s">
        <v>1335</v>
      </c>
      <c r="E391" s="10" t="s">
        <v>5866</v>
      </c>
      <c r="F391" s="10" t="s">
        <v>6914</v>
      </c>
      <c r="G391" s="34" t="s">
        <v>920</v>
      </c>
      <c r="H391" s="10" t="s">
        <v>1648</v>
      </c>
      <c r="I391" s="10" t="s">
        <v>5870</v>
      </c>
    </row>
    <row r="392" spans="1:10" x14ac:dyDescent="0.3">
      <c r="A392" s="26" t="s">
        <v>5819</v>
      </c>
      <c r="B392" s="26" t="s">
        <v>2846</v>
      </c>
    </row>
    <row r="393" spans="1:10" s="10" customFormat="1" x14ac:dyDescent="0.3">
      <c r="A393" s="10" t="s">
        <v>521</v>
      </c>
      <c r="B393" s="10" t="s">
        <v>29</v>
      </c>
      <c r="C393" s="10" t="s">
        <v>473</v>
      </c>
      <c r="D393" s="10" t="s">
        <v>5829</v>
      </c>
      <c r="E393" s="10" t="s">
        <v>6930</v>
      </c>
      <c r="F393" s="10" t="s">
        <v>470</v>
      </c>
      <c r="G393" s="10" t="s">
        <v>467</v>
      </c>
    </row>
    <row r="394" spans="1:10" s="10" customFormat="1" x14ac:dyDescent="0.3">
      <c r="A394" s="26" t="s">
        <v>4454</v>
      </c>
      <c r="B394" s="26" t="s">
        <v>5437</v>
      </c>
      <c r="C394" s="26" t="s">
        <v>5105</v>
      </c>
      <c r="D394" s="26" t="s">
        <v>6914</v>
      </c>
      <c r="E394" s="26"/>
      <c r="F394" s="26"/>
      <c r="G394" s="26"/>
      <c r="H394" s="26"/>
      <c r="I394" s="26"/>
      <c r="J394" s="26"/>
    </row>
    <row r="395" spans="1:10" s="10" customFormat="1" x14ac:dyDescent="0.3">
      <c r="A395" s="10" t="s">
        <v>705</v>
      </c>
      <c r="B395" s="10" t="s">
        <v>702</v>
      </c>
      <c r="C395" s="10" t="s">
        <v>7449</v>
      </c>
      <c r="D395" s="10" t="s">
        <v>1585</v>
      </c>
      <c r="E395" s="10" t="s">
        <v>5401</v>
      </c>
      <c r="F395" s="10" t="s">
        <v>1581</v>
      </c>
      <c r="G395" s="10" t="s">
        <v>3977</v>
      </c>
    </row>
    <row r="396" spans="1:10" ht="16.2" x14ac:dyDescent="0.35">
      <c r="A396" s="10" t="s">
        <v>3327</v>
      </c>
      <c r="B396" s="10" t="s">
        <v>1175</v>
      </c>
      <c r="C396" s="10" t="s">
        <v>1585</v>
      </c>
      <c r="D396" s="10" t="s">
        <v>6914</v>
      </c>
      <c r="E396" s="10" t="s">
        <v>5990</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9535</v>
      </c>
      <c r="D398" s="27" t="s">
        <v>2407</v>
      </c>
      <c r="E398" s="26" t="s">
        <v>7231</v>
      </c>
      <c r="F398" s="26" t="s">
        <v>324</v>
      </c>
      <c r="G398" s="26" t="s">
        <v>1051</v>
      </c>
      <c r="H398" s="26" t="s">
        <v>1073</v>
      </c>
      <c r="I398" s="26"/>
      <c r="J398" s="26"/>
    </row>
    <row r="399" spans="1:10" x14ac:dyDescent="0.35">
      <c r="A399" s="26" t="s">
        <v>1098</v>
      </c>
      <c r="B399" s="26" t="s">
        <v>6572</v>
      </c>
      <c r="C399" s="27" t="s">
        <v>2119</v>
      </c>
      <c r="D399" s="27" t="s">
        <v>2115</v>
      </c>
      <c r="E399" s="24" t="s">
        <v>2390</v>
      </c>
      <c r="F399" s="26" t="s">
        <v>932</v>
      </c>
      <c r="G399" s="26" t="s">
        <v>9397</v>
      </c>
      <c r="H399" s="26" t="s">
        <v>2843</v>
      </c>
    </row>
    <row r="400" spans="1:10" x14ac:dyDescent="0.3">
      <c r="A400" s="10" t="s">
        <v>3342</v>
      </c>
      <c r="B400" s="10" t="s">
        <v>34</v>
      </c>
      <c r="C400" s="10" t="s">
        <v>2846</v>
      </c>
      <c r="D400" s="10" t="s">
        <v>6884</v>
      </c>
      <c r="E400" s="10"/>
      <c r="F400" s="10"/>
      <c r="G400" s="10"/>
      <c r="H400" s="10"/>
      <c r="I400" s="10"/>
      <c r="J400" s="10"/>
    </row>
    <row r="401" spans="1:10" x14ac:dyDescent="0.3">
      <c r="A401" s="26" t="s">
        <v>4465</v>
      </c>
      <c r="B401" s="26" t="s">
        <v>4944</v>
      </c>
      <c r="C401" s="26" t="s">
        <v>6202</v>
      </c>
      <c r="D401" s="26" t="s">
        <v>2846</v>
      </c>
      <c r="E401" s="26" t="s">
        <v>34</v>
      </c>
      <c r="F401" s="26" t="s">
        <v>3414</v>
      </c>
    </row>
    <row r="402" spans="1:10" x14ac:dyDescent="0.3">
      <c r="A402" s="10" t="s">
        <v>5829</v>
      </c>
      <c r="B402" s="10" t="s">
        <v>29</v>
      </c>
      <c r="C402" s="10" t="s">
        <v>473</v>
      </c>
      <c r="D402" s="10" t="s">
        <v>499</v>
      </c>
      <c r="E402" s="10" t="s">
        <v>6930</v>
      </c>
      <c r="F402" s="10"/>
      <c r="G402" s="10"/>
      <c r="H402" s="10"/>
      <c r="I402" s="10"/>
      <c r="J402" s="10"/>
    </row>
    <row r="403" spans="1:10" x14ac:dyDescent="0.3">
      <c r="A403" s="10" t="s">
        <v>1490</v>
      </c>
      <c r="B403" s="10" t="s">
        <v>2862</v>
      </c>
      <c r="C403" s="10" t="s">
        <v>82</v>
      </c>
      <c r="D403" s="10" t="s">
        <v>5407</v>
      </c>
      <c r="E403" s="10" t="s">
        <v>3458</v>
      </c>
      <c r="F403" s="10"/>
      <c r="G403" s="10"/>
      <c r="H403" s="10"/>
      <c r="I403" s="10"/>
      <c r="J403" s="10"/>
    </row>
    <row r="404" spans="1:10" x14ac:dyDescent="0.3">
      <c r="A404" s="10" t="s">
        <v>1603</v>
      </c>
      <c r="B404" s="10" t="s">
        <v>5772</v>
      </c>
      <c r="C404" s="10" t="s">
        <v>2580</v>
      </c>
      <c r="D404" s="34" t="s">
        <v>1848</v>
      </c>
      <c r="E404" s="10" t="s">
        <v>1868</v>
      </c>
      <c r="F404" s="10" t="s">
        <v>6914</v>
      </c>
      <c r="G404" s="10"/>
      <c r="H404" s="10"/>
      <c r="I404" s="10"/>
      <c r="J404" s="10"/>
    </row>
    <row r="405" spans="1:10" x14ac:dyDescent="0.3">
      <c r="A405" s="26" t="s">
        <v>5833</v>
      </c>
      <c r="B405" s="26" t="s">
        <v>4476</v>
      </c>
      <c r="C405" s="26" t="s">
        <v>1678</v>
      </c>
      <c r="D405" s="26" t="s">
        <v>2390</v>
      </c>
      <c r="E405" s="26" t="s">
        <v>932</v>
      </c>
      <c r="F405" s="26" t="s">
        <v>4693</v>
      </c>
      <c r="G405" s="26" t="s">
        <v>1098</v>
      </c>
    </row>
    <row r="406" spans="1:10" x14ac:dyDescent="0.35">
      <c r="A406" s="26" t="s">
        <v>2152</v>
      </c>
      <c r="B406" s="27" t="s">
        <v>7594</v>
      </c>
      <c r="C406" s="27" t="s">
        <v>2129</v>
      </c>
      <c r="D406" s="26" t="s">
        <v>2134</v>
      </c>
      <c r="E406" s="26" t="s">
        <v>2139</v>
      </c>
    </row>
    <row r="407" spans="1:10" x14ac:dyDescent="0.3">
      <c r="A407" s="10" t="s">
        <v>6715</v>
      </c>
      <c r="B407" s="10" t="s">
        <v>535</v>
      </c>
      <c r="C407" s="10" t="s">
        <v>544</v>
      </c>
      <c r="D407" s="10" t="s">
        <v>5829</v>
      </c>
      <c r="E407" s="10" t="s">
        <v>490</v>
      </c>
      <c r="F407" s="10" t="s">
        <v>473</v>
      </c>
      <c r="G407" s="10" t="s">
        <v>6966</v>
      </c>
      <c r="H407" s="10"/>
      <c r="I407" s="10"/>
      <c r="J407" s="10"/>
    </row>
    <row r="408" spans="1:10" x14ac:dyDescent="0.35">
      <c r="A408" s="26" t="s">
        <v>4472</v>
      </c>
      <c r="B408" s="26" t="s">
        <v>458</v>
      </c>
      <c r="C408" s="24" t="s">
        <v>2463</v>
      </c>
      <c r="D408" s="26" t="s">
        <v>7584</v>
      </c>
      <c r="E408" s="26" t="s">
        <v>2721</v>
      </c>
      <c r="F408" s="26" t="s">
        <v>29</v>
      </c>
      <c r="G408" s="26" t="s">
        <v>3028</v>
      </c>
      <c r="H408" s="26" t="s">
        <v>3447</v>
      </c>
    </row>
    <row r="409" spans="1:10" s="10" customFormat="1" x14ac:dyDescent="0.35">
      <c r="A409" s="26" t="s">
        <v>4002</v>
      </c>
      <c r="B409" s="27" t="s">
        <v>3447</v>
      </c>
      <c r="C409" s="26" t="s">
        <v>5532</v>
      </c>
      <c r="D409" s="26" t="s">
        <v>7368</v>
      </c>
      <c r="E409" s="26"/>
      <c r="F409" s="26"/>
      <c r="G409" s="26"/>
      <c r="H409" s="26"/>
      <c r="I409" s="26"/>
      <c r="J409" s="26"/>
    </row>
    <row r="410" spans="1:10" s="10" customFormat="1" x14ac:dyDescent="0.35">
      <c r="A410" s="26" t="s">
        <v>5837</v>
      </c>
      <c r="B410" s="26" t="s">
        <v>6004</v>
      </c>
      <c r="C410" s="27" t="s">
        <v>2124</v>
      </c>
      <c r="D410" s="27" t="s">
        <v>2119</v>
      </c>
      <c r="E410" s="26" t="s">
        <v>2115</v>
      </c>
      <c r="F410" s="26" t="s">
        <v>2129</v>
      </c>
      <c r="G410" s="26"/>
      <c r="H410" s="26"/>
      <c r="I410" s="26"/>
      <c r="J410" s="26"/>
    </row>
    <row r="411" spans="1:10" x14ac:dyDescent="0.35">
      <c r="A411" s="26" t="s">
        <v>4476</v>
      </c>
      <c r="B411" s="26" t="s">
        <v>5833</v>
      </c>
      <c r="C411" s="27" t="s">
        <v>1678</v>
      </c>
      <c r="D411" s="27" t="s">
        <v>2390</v>
      </c>
      <c r="E411" s="26" t="s">
        <v>932</v>
      </c>
      <c r="F411" s="26" t="s">
        <v>4693</v>
      </c>
      <c r="G411" s="26" t="s">
        <v>1098</v>
      </c>
    </row>
    <row r="412" spans="1:10" x14ac:dyDescent="0.35">
      <c r="A412" s="26" t="s">
        <v>4484</v>
      </c>
      <c r="B412" s="26" t="s">
        <v>7594</v>
      </c>
      <c r="C412" s="27" t="s">
        <v>1029</v>
      </c>
      <c r="D412" s="27" t="s">
        <v>9513</v>
      </c>
      <c r="E412" s="26" t="s">
        <v>1077</v>
      </c>
      <c r="F412" s="26" t="s">
        <v>5147</v>
      </c>
      <c r="G412" s="26" t="s">
        <v>7623</v>
      </c>
    </row>
    <row r="413" spans="1:10" x14ac:dyDescent="0.3">
      <c r="A413" s="26" t="s">
        <v>5843</v>
      </c>
      <c r="B413" s="26" t="s">
        <v>5065</v>
      </c>
      <c r="C413" s="26" t="s">
        <v>1051</v>
      </c>
      <c r="D413" s="26" t="s">
        <v>1069</v>
      </c>
      <c r="E413" s="26" t="s">
        <v>4004</v>
      </c>
      <c r="F413" s="26" t="s">
        <v>6914</v>
      </c>
      <c r="G413" s="26" t="s">
        <v>3548</v>
      </c>
    </row>
    <row r="414" spans="1:10" x14ac:dyDescent="0.35">
      <c r="A414" s="26" t="s">
        <v>4493</v>
      </c>
      <c r="B414" s="27" t="s">
        <v>4956</v>
      </c>
      <c r="C414" s="27" t="s">
        <v>5905</v>
      </c>
      <c r="D414" s="26" t="s">
        <v>1678</v>
      </c>
      <c r="E414" s="26" t="s">
        <v>2470</v>
      </c>
      <c r="F414" s="27" t="s">
        <v>2636</v>
      </c>
      <c r="G414" s="26" t="s">
        <v>4857</v>
      </c>
      <c r="H414" s="26" t="s">
        <v>9536</v>
      </c>
    </row>
    <row r="415" spans="1:10" x14ac:dyDescent="0.3">
      <c r="A415" s="26" t="s">
        <v>5847</v>
      </c>
      <c r="B415" s="26" t="s">
        <v>5413</v>
      </c>
      <c r="C415" s="26" t="s">
        <v>7519</v>
      </c>
      <c r="D415" s="26" t="s">
        <v>5575</v>
      </c>
      <c r="E415" s="26" t="s">
        <v>2233</v>
      </c>
      <c r="F415" s="26" t="s">
        <v>278</v>
      </c>
      <c r="G415" s="26" t="s">
        <v>6296</v>
      </c>
      <c r="H415" s="26" t="s">
        <v>4841</v>
      </c>
    </row>
    <row r="416" spans="1:10" x14ac:dyDescent="0.3">
      <c r="A416" s="26" t="s">
        <v>4497</v>
      </c>
      <c r="B416" s="26" t="s">
        <v>2811</v>
      </c>
      <c r="C416" s="26" t="s">
        <v>1648</v>
      </c>
      <c r="D416" s="26" t="s">
        <v>5866</v>
      </c>
      <c r="E416" s="26" t="s">
        <v>5870</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7268</v>
      </c>
      <c r="E422" s="26" t="s">
        <v>1678</v>
      </c>
      <c r="F422" s="26" t="s">
        <v>5893</v>
      </c>
      <c r="G422" s="26" t="s">
        <v>1915</v>
      </c>
    </row>
    <row r="423" spans="1:10" x14ac:dyDescent="0.3">
      <c r="A423" s="26" t="s">
        <v>4507</v>
      </c>
      <c r="B423" s="26" t="s">
        <v>3381</v>
      </c>
      <c r="C423" s="26" t="s">
        <v>6096</v>
      </c>
      <c r="D423" s="26" t="s">
        <v>3966</v>
      </c>
      <c r="E423" s="26" t="s">
        <v>6985</v>
      </c>
    </row>
    <row r="424" spans="1:10" x14ac:dyDescent="0.35">
      <c r="A424" s="26" t="s">
        <v>4515</v>
      </c>
      <c r="B424" s="27" t="s">
        <v>6511</v>
      </c>
      <c r="C424" s="27" t="s">
        <v>5028</v>
      </c>
      <c r="D424" s="27" t="s">
        <v>2401</v>
      </c>
      <c r="E424" s="27" t="s">
        <v>7127</v>
      </c>
    </row>
    <row r="425" spans="1:10" s="10" customFormat="1" x14ac:dyDescent="0.3">
      <c r="A425" s="26" t="s">
        <v>5855</v>
      </c>
      <c r="B425" s="26" t="s">
        <v>458</v>
      </c>
      <c r="C425" s="26" t="s">
        <v>4956</v>
      </c>
      <c r="D425" s="26" t="s">
        <v>6023</v>
      </c>
      <c r="E425" s="26" t="s">
        <v>6966</v>
      </c>
      <c r="F425" s="26"/>
      <c r="G425" s="26"/>
      <c r="H425" s="26"/>
      <c r="I425" s="26"/>
      <c r="J425" s="26"/>
    </row>
    <row r="426" spans="1:10" s="10" customFormat="1" x14ac:dyDescent="0.35">
      <c r="A426" s="26" t="s">
        <v>4527</v>
      </c>
      <c r="B426" s="26" t="s">
        <v>4622</v>
      </c>
      <c r="C426" s="27" t="s">
        <v>6368</v>
      </c>
      <c r="D426" s="26" t="s">
        <v>2292</v>
      </c>
      <c r="E426" s="26" t="s">
        <v>2156</v>
      </c>
      <c r="F426" s="26" t="s">
        <v>5983</v>
      </c>
      <c r="G426" s="26" t="s">
        <v>4129</v>
      </c>
      <c r="H426" s="26"/>
      <c r="I426" s="26"/>
      <c r="J426" s="26"/>
    </row>
    <row r="427" spans="1:10" x14ac:dyDescent="0.3">
      <c r="A427" s="26" t="s">
        <v>4531</v>
      </c>
      <c r="B427" s="26" t="s">
        <v>5643</v>
      </c>
      <c r="C427" s="26" t="s">
        <v>4114</v>
      </c>
      <c r="D427" s="26" t="s">
        <v>3485</v>
      </c>
    </row>
    <row r="428" spans="1:10" s="10" customFormat="1" x14ac:dyDescent="0.3">
      <c r="A428" s="26" t="s">
        <v>1410</v>
      </c>
      <c r="B428" s="26" t="s">
        <v>2726</v>
      </c>
      <c r="C428" s="26" t="s">
        <v>4894</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6914</v>
      </c>
      <c r="E430" s="26" t="s">
        <v>5866</v>
      </c>
      <c r="F430" s="26" t="s">
        <v>5870</v>
      </c>
      <c r="G430" s="26" t="s">
        <v>4497</v>
      </c>
    </row>
    <row r="431" spans="1:10" x14ac:dyDescent="0.3">
      <c r="A431" s="26" t="s">
        <v>695</v>
      </c>
      <c r="B431" s="26" t="s">
        <v>670</v>
      </c>
      <c r="C431" s="26" t="s">
        <v>5216</v>
      </c>
      <c r="D431" s="26" t="s">
        <v>4715</v>
      </c>
      <c r="E431" s="26" t="s">
        <v>1736</v>
      </c>
      <c r="F431" s="26" t="s">
        <v>622</v>
      </c>
      <c r="G431" s="26" t="s">
        <v>4065</v>
      </c>
      <c r="H431" s="26" t="s">
        <v>3588</v>
      </c>
    </row>
    <row r="432" spans="1:10" s="10" customFormat="1" x14ac:dyDescent="0.3">
      <c r="A432" s="26" t="s">
        <v>5859</v>
      </c>
      <c r="B432" s="26" t="s">
        <v>5729</v>
      </c>
      <c r="C432" s="26" t="s">
        <v>5876</v>
      </c>
      <c r="D432" s="26" t="s">
        <v>5316</v>
      </c>
      <c r="E432" s="26"/>
      <c r="F432" s="26"/>
      <c r="G432" s="26"/>
      <c r="H432" s="26"/>
      <c r="I432" s="26"/>
      <c r="J432" s="26"/>
    </row>
    <row r="433" spans="1:10" x14ac:dyDescent="0.35">
      <c r="A433" s="26" t="s">
        <v>2610</v>
      </c>
      <c r="B433" s="27" t="s">
        <v>2481</v>
      </c>
      <c r="C433" s="26" t="s">
        <v>6758</v>
      </c>
      <c r="D433" s="26" t="s">
        <v>7127</v>
      </c>
    </row>
    <row r="434" spans="1:10" x14ac:dyDescent="0.3">
      <c r="A434" s="10" t="s">
        <v>2825</v>
      </c>
      <c r="B434" s="10" t="s">
        <v>2811</v>
      </c>
      <c r="C434" s="10" t="s">
        <v>2361</v>
      </c>
      <c r="D434" s="10" t="s">
        <v>1175</v>
      </c>
      <c r="E434" s="10" t="s">
        <v>4180</v>
      </c>
      <c r="F434" s="10" t="s">
        <v>4921</v>
      </c>
      <c r="G434" s="10"/>
      <c r="H434" s="10"/>
      <c r="I434" s="10"/>
      <c r="J434" s="10"/>
    </row>
    <row r="435" spans="1:10" x14ac:dyDescent="0.3">
      <c r="A435" s="10" t="s">
        <v>876</v>
      </c>
      <c r="B435" s="10" t="s">
        <v>4547</v>
      </c>
      <c r="C435" s="10" t="s">
        <v>880</v>
      </c>
      <c r="D435" s="10" t="s">
        <v>872</v>
      </c>
      <c r="E435" s="10" t="s">
        <v>867</v>
      </c>
      <c r="F435" s="10" t="s">
        <v>6872</v>
      </c>
      <c r="G435" s="10" t="s">
        <v>3504</v>
      </c>
      <c r="H435" s="10" t="s">
        <v>4670</v>
      </c>
      <c r="I435" s="10" t="s">
        <v>3195</v>
      </c>
      <c r="J435" s="10"/>
    </row>
    <row r="436" spans="1:10" s="10" customFormat="1" x14ac:dyDescent="0.3">
      <c r="A436" s="19" t="s">
        <v>953</v>
      </c>
      <c r="B436" s="10" t="s">
        <v>948</v>
      </c>
      <c r="C436" s="10" t="s">
        <v>955</v>
      </c>
    </row>
    <row r="437" spans="1:10" x14ac:dyDescent="0.3">
      <c r="A437" s="19" t="s">
        <v>6772</v>
      </c>
      <c r="B437" s="10" t="s">
        <v>6222</v>
      </c>
      <c r="C437" s="34" t="s">
        <v>5316</v>
      </c>
      <c r="D437" s="10" t="s">
        <v>7135</v>
      </c>
      <c r="E437" s="10" t="s">
        <v>6994</v>
      </c>
      <c r="F437" s="10" t="s">
        <v>6824</v>
      </c>
      <c r="G437" s="10" t="s">
        <v>3857</v>
      </c>
      <c r="H437" s="10"/>
      <c r="I437" s="10"/>
      <c r="J437" s="10"/>
    </row>
    <row r="438" spans="1:10" s="10" customFormat="1" x14ac:dyDescent="0.35">
      <c r="A438" s="26" t="s">
        <v>932</v>
      </c>
      <c r="B438" s="26" t="s">
        <v>912</v>
      </c>
      <c r="C438" s="26" t="s">
        <v>936</v>
      </c>
      <c r="D438" s="26" t="s">
        <v>6035</v>
      </c>
      <c r="E438" s="26" t="s">
        <v>5482</v>
      </c>
      <c r="F438" s="26" t="s">
        <v>4857</v>
      </c>
      <c r="G438" s="26" t="s">
        <v>4693</v>
      </c>
      <c r="H438" s="24" t="s">
        <v>2390</v>
      </c>
      <c r="I438" s="26" t="s">
        <v>9397</v>
      </c>
      <c r="J438" s="26"/>
    </row>
    <row r="439" spans="1:10" x14ac:dyDescent="0.3">
      <c r="A439" s="26" t="s">
        <v>5863</v>
      </c>
      <c r="B439" s="26" t="s">
        <v>646</v>
      </c>
      <c r="C439" s="26" t="s">
        <v>6156</v>
      </c>
      <c r="D439" s="26" t="s">
        <v>1981</v>
      </c>
      <c r="E439" s="26" t="s">
        <v>4065</v>
      </c>
      <c r="F439" s="26" t="s">
        <v>4980</v>
      </c>
      <c r="G439" s="26" t="s">
        <v>4936</v>
      </c>
      <c r="H439" s="26" t="s">
        <v>6389</v>
      </c>
      <c r="I439" s="26" t="s">
        <v>9397</v>
      </c>
    </row>
    <row r="440" spans="1:10" x14ac:dyDescent="0.3">
      <c r="A440" s="10" t="s">
        <v>535</v>
      </c>
      <c r="B440" s="10" t="s">
        <v>458</v>
      </c>
      <c r="C440" s="10" t="s">
        <v>3422</v>
      </c>
      <c r="D440" s="10" t="s">
        <v>6930</v>
      </c>
      <c r="E440" s="10"/>
      <c r="F440" s="10"/>
      <c r="G440" s="10"/>
      <c r="H440" s="10"/>
      <c r="I440" s="10"/>
      <c r="J440" s="10"/>
    </row>
    <row r="441" spans="1:10" x14ac:dyDescent="0.35">
      <c r="A441" s="26" t="s">
        <v>4535</v>
      </c>
      <c r="B441" s="26" t="s">
        <v>7584</v>
      </c>
      <c r="C441" s="26" t="s">
        <v>9588</v>
      </c>
      <c r="D441" s="24" t="s">
        <v>2407</v>
      </c>
      <c r="G441" s="27"/>
    </row>
    <row r="442" spans="1:10" x14ac:dyDescent="0.35">
      <c r="A442" s="26" t="s">
        <v>6777</v>
      </c>
      <c r="B442" s="26" t="s">
        <v>6855</v>
      </c>
      <c r="C442" s="27" t="s">
        <v>1661</v>
      </c>
      <c r="D442" s="27" t="s">
        <v>1622</v>
      </c>
      <c r="E442" s="26" t="s">
        <v>5893</v>
      </c>
      <c r="F442" s="26" t="s">
        <v>1617</v>
      </c>
    </row>
    <row r="443" spans="1:10" s="10" customFormat="1" x14ac:dyDescent="0.3">
      <c r="A443" s="26" t="s">
        <v>2753</v>
      </c>
      <c r="B443" s="26" t="s">
        <v>6602</v>
      </c>
      <c r="C443" s="26" t="s">
        <v>3831</v>
      </c>
      <c r="D443" s="26" t="s">
        <v>3176</v>
      </c>
      <c r="E443" s="26" t="s">
        <v>3180</v>
      </c>
      <c r="F443" s="26"/>
      <c r="G443" s="26"/>
      <c r="H443" s="26"/>
      <c r="I443" s="26"/>
      <c r="J443" s="26"/>
    </row>
    <row r="444" spans="1:10" s="10" customFormat="1" x14ac:dyDescent="0.3">
      <c r="A444" s="10" t="s">
        <v>1594</v>
      </c>
      <c r="B444" s="10" t="s">
        <v>5905</v>
      </c>
      <c r="C444" s="34" t="s">
        <v>4016</v>
      </c>
      <c r="D444" s="10" t="s">
        <v>7608</v>
      </c>
      <c r="E444" s="10" t="s">
        <v>7453</v>
      </c>
      <c r="F444" s="34" t="s">
        <v>2044</v>
      </c>
    </row>
    <row r="445" spans="1:10" x14ac:dyDescent="0.35">
      <c r="A445" s="26" t="s">
        <v>3240</v>
      </c>
      <c r="B445" s="26" t="s">
        <v>2846</v>
      </c>
      <c r="C445" s="26" t="s">
        <v>5996</v>
      </c>
      <c r="D445" s="24" t="s">
        <v>3237</v>
      </c>
    </row>
    <row r="446" spans="1:10" x14ac:dyDescent="0.3">
      <c r="A446" s="19" t="s">
        <v>4033</v>
      </c>
      <c r="B446" s="10" t="s">
        <v>6664</v>
      </c>
      <c r="C446" s="10" t="s">
        <v>4078</v>
      </c>
      <c r="D446" s="10" t="s">
        <v>3442</v>
      </c>
      <c r="E446" s="10"/>
      <c r="F446" s="10"/>
      <c r="G446" s="10"/>
      <c r="H446" s="10"/>
      <c r="I446" s="10"/>
      <c r="J446" s="10"/>
    </row>
    <row r="447" spans="1:10" x14ac:dyDescent="0.35">
      <c r="A447" s="26" t="s">
        <v>6781</v>
      </c>
      <c r="B447" s="26" t="s">
        <v>1029</v>
      </c>
      <c r="C447" s="26" t="s">
        <v>3116</v>
      </c>
      <c r="D447" s="27" t="s">
        <v>4765</v>
      </c>
      <c r="E447" s="26" t="s">
        <v>7160</v>
      </c>
      <c r="F447" s="26" t="s">
        <v>7026</v>
      </c>
      <c r="G447" s="26" t="s">
        <v>6994</v>
      </c>
      <c r="H447" s="26" t="s">
        <v>3813</v>
      </c>
    </row>
    <row r="448" spans="1:10" x14ac:dyDescent="0.3">
      <c r="A448" s="26" t="s">
        <v>6785</v>
      </c>
      <c r="B448" s="26" t="s">
        <v>1617</v>
      </c>
      <c r="C448" s="26" t="s">
        <v>1678</v>
      </c>
      <c r="D448" s="26" t="s">
        <v>5679</v>
      </c>
      <c r="E448" s="26" t="s">
        <v>2893</v>
      </c>
      <c r="F448" s="26" t="s">
        <v>1656</v>
      </c>
    </row>
    <row r="449" spans="1:11" x14ac:dyDescent="0.35">
      <c r="A449" s="26" t="s">
        <v>6789</v>
      </c>
      <c r="B449" s="24" t="s">
        <v>4792</v>
      </c>
      <c r="C449" s="24" t="s">
        <v>7505</v>
      </c>
      <c r="D449" s="26" t="s">
        <v>458</v>
      </c>
      <c r="E449" s="26" t="s">
        <v>69</v>
      </c>
      <c r="F449" s="26" t="s">
        <v>2333</v>
      </c>
    </row>
    <row r="450" spans="1:11" x14ac:dyDescent="0.3">
      <c r="A450" s="26" t="s">
        <v>6792</v>
      </c>
      <c r="B450" s="26" t="s">
        <v>5388</v>
      </c>
      <c r="C450" s="26" t="s">
        <v>5292</v>
      </c>
      <c r="D450" s="26" t="s">
        <v>7597</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6368</v>
      </c>
      <c r="E452" s="10" t="s">
        <v>3434</v>
      </c>
      <c r="F452" s="10" t="s">
        <v>3074</v>
      </c>
      <c r="G452" s="34"/>
      <c r="H452" s="10"/>
      <c r="I452" s="10"/>
      <c r="J452" s="10"/>
      <c r="K452" s="26" t="s">
        <v>666</v>
      </c>
    </row>
    <row r="453" spans="1:11" x14ac:dyDescent="0.3">
      <c r="A453" s="26" t="s">
        <v>6800</v>
      </c>
      <c r="B453" s="26" t="s">
        <v>4697</v>
      </c>
      <c r="C453" s="26" t="s">
        <v>832</v>
      </c>
      <c r="D453" s="26" t="s">
        <v>2333</v>
      </c>
    </row>
    <row r="454" spans="1:11" x14ac:dyDescent="0.3">
      <c r="A454" s="26" t="s">
        <v>6804</v>
      </c>
      <c r="B454" s="26" t="s">
        <v>7584</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6811</v>
      </c>
      <c r="B456" s="26" t="s">
        <v>5983</v>
      </c>
      <c r="C456" s="26" t="s">
        <v>957</v>
      </c>
      <c r="D456" s="26" t="s">
        <v>9528</v>
      </c>
      <c r="E456" s="26" t="s">
        <v>4420</v>
      </c>
      <c r="F456" s="26" t="s">
        <v>968</v>
      </c>
      <c r="G456" s="26"/>
      <c r="H456" s="26"/>
      <c r="I456" s="26"/>
      <c r="J456" s="26"/>
    </row>
    <row r="457" spans="1:11" s="10" customFormat="1" x14ac:dyDescent="0.3">
      <c r="A457" s="26" t="s">
        <v>1426</v>
      </c>
      <c r="B457" s="26" t="s">
        <v>1406</v>
      </c>
      <c r="C457" s="26" t="s">
        <v>1829</v>
      </c>
      <c r="D457" s="26" t="s">
        <v>9540</v>
      </c>
      <c r="E457" s="26"/>
      <c r="F457" s="26"/>
      <c r="G457" s="26"/>
      <c r="H457" s="26"/>
      <c r="I457" s="26"/>
      <c r="J457" s="26"/>
    </row>
    <row r="458" spans="1:11" x14ac:dyDescent="0.3">
      <c r="A458" s="26" t="s">
        <v>4049</v>
      </c>
      <c r="B458" s="26" t="s">
        <v>34</v>
      </c>
      <c r="C458" s="26" t="s">
        <v>6792</v>
      </c>
      <c r="D458" s="26" t="s">
        <v>5292</v>
      </c>
      <c r="E458" s="26" t="s">
        <v>5388</v>
      </c>
      <c r="F458" s="26" t="s">
        <v>6898</v>
      </c>
      <c r="G458" s="26" t="s">
        <v>3939</v>
      </c>
    </row>
    <row r="459" spans="1:11" s="10" customFormat="1" x14ac:dyDescent="0.3">
      <c r="A459" s="26" t="s">
        <v>4052</v>
      </c>
      <c r="B459" s="26" t="s">
        <v>1037</v>
      </c>
      <c r="C459" s="26" t="s">
        <v>7425</v>
      </c>
      <c r="D459" s="26" t="s">
        <v>7371</v>
      </c>
      <c r="E459" s="26"/>
      <c r="F459" s="26"/>
      <c r="G459" s="26"/>
      <c r="H459" s="26"/>
      <c r="I459" s="26"/>
      <c r="J459" s="26"/>
    </row>
    <row r="460" spans="1:11" x14ac:dyDescent="0.3">
      <c r="A460" s="26" t="s">
        <v>6816</v>
      </c>
      <c r="B460" s="26" t="s">
        <v>6820</v>
      </c>
      <c r="C460" s="26" t="s">
        <v>458</v>
      </c>
      <c r="D460" s="26" t="s">
        <v>2721</v>
      </c>
      <c r="E460" s="26" t="s">
        <v>29</v>
      </c>
      <c r="F460" s="26" t="s">
        <v>6252</v>
      </c>
      <c r="G460" s="26" t="s">
        <v>6914</v>
      </c>
      <c r="H460" s="26" t="s">
        <v>3548</v>
      </c>
      <c r="I460" s="26" t="s">
        <v>557</v>
      </c>
      <c r="J460" s="26" t="s">
        <v>642</v>
      </c>
    </row>
    <row r="461" spans="1:11" x14ac:dyDescent="0.3">
      <c r="A461" s="26" t="s">
        <v>6820</v>
      </c>
      <c r="B461" s="26" t="s">
        <v>458</v>
      </c>
      <c r="C461" s="26" t="s">
        <v>2721</v>
      </c>
      <c r="D461" s="26" t="s">
        <v>29</v>
      </c>
      <c r="E461" s="26" t="s">
        <v>666</v>
      </c>
    </row>
    <row r="462" spans="1:11" s="10" customFormat="1" x14ac:dyDescent="0.35">
      <c r="A462" s="26" t="s">
        <v>4055</v>
      </c>
      <c r="B462" s="27" t="s">
        <v>3891</v>
      </c>
      <c r="C462" s="27" t="s">
        <v>4484</v>
      </c>
      <c r="D462" s="26" t="s">
        <v>9531</v>
      </c>
      <c r="E462" s="26" t="s">
        <v>6368</v>
      </c>
      <c r="F462" s="26" t="s">
        <v>5951</v>
      </c>
      <c r="G462" s="26" t="s">
        <v>5380</v>
      </c>
      <c r="H462" s="26"/>
      <c r="I462" s="26"/>
      <c r="J462" s="26"/>
    </row>
    <row r="463" spans="1:11" x14ac:dyDescent="0.3">
      <c r="A463" s="26" t="s">
        <v>4543</v>
      </c>
      <c r="B463" s="26" t="s">
        <v>7584</v>
      </c>
      <c r="C463" s="26" t="s">
        <v>6692</v>
      </c>
      <c r="D463" s="26" t="s">
        <v>7436</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7594</v>
      </c>
      <c r="C465" s="10" t="s">
        <v>2134</v>
      </c>
      <c r="D465" s="10" t="s">
        <v>2152</v>
      </c>
      <c r="E465" s="10" t="s">
        <v>2139</v>
      </c>
    </row>
    <row r="466" spans="1:10" x14ac:dyDescent="0.3">
      <c r="A466" s="26" t="s">
        <v>7530</v>
      </c>
      <c r="B466" s="26" t="s">
        <v>1180</v>
      </c>
      <c r="C466" s="26" t="s">
        <v>4745</v>
      </c>
      <c r="D466" s="26" t="s">
        <v>4505</v>
      </c>
      <c r="E466" s="26" t="s">
        <v>6914</v>
      </c>
    </row>
    <row r="467" spans="1:10" x14ac:dyDescent="0.3">
      <c r="A467" s="10" t="s">
        <v>5866</v>
      </c>
      <c r="B467" s="10" t="s">
        <v>34</v>
      </c>
      <c r="C467" s="10" t="s">
        <v>1648</v>
      </c>
      <c r="D467" s="10" t="s">
        <v>2044</v>
      </c>
      <c r="E467" s="10" t="s">
        <v>2016</v>
      </c>
      <c r="F467" s="34" t="s">
        <v>2024</v>
      </c>
      <c r="G467" s="10" t="s">
        <v>2055</v>
      </c>
      <c r="H467" s="10" t="s">
        <v>2020</v>
      </c>
      <c r="I467" s="34" t="s">
        <v>9396</v>
      </c>
      <c r="J467" s="10" t="s">
        <v>1872</v>
      </c>
    </row>
    <row r="468" spans="1:10" x14ac:dyDescent="0.3">
      <c r="A468" s="26" t="s">
        <v>5870</v>
      </c>
      <c r="B468" s="26" t="s">
        <v>2811</v>
      </c>
      <c r="C468" s="26" t="s">
        <v>5866</v>
      </c>
      <c r="D468" s="26" t="s">
        <v>2008</v>
      </c>
      <c r="E468" s="26" t="s">
        <v>1648</v>
      </c>
      <c r="F468" s="26" t="s">
        <v>4497</v>
      </c>
      <c r="G468" s="26" t="s">
        <v>2804</v>
      </c>
    </row>
    <row r="469" spans="1:10" x14ac:dyDescent="0.3">
      <c r="A469" s="26" t="s">
        <v>5876</v>
      </c>
      <c r="B469" s="26" t="s">
        <v>473</v>
      </c>
      <c r="C469" s="26" t="s">
        <v>6622</v>
      </c>
      <c r="D469" s="26" t="s">
        <v>4065</v>
      </c>
      <c r="E469" s="26" t="s">
        <v>6206</v>
      </c>
    </row>
    <row r="470" spans="1:10" x14ac:dyDescent="0.35">
      <c r="A470" s="10" t="s">
        <v>1736</v>
      </c>
      <c r="B470" s="10" t="s">
        <v>324</v>
      </c>
      <c r="C470" s="10" t="s">
        <v>1051</v>
      </c>
      <c r="D470" s="10" t="s">
        <v>1073</v>
      </c>
      <c r="E470" s="10" t="s">
        <v>9614</v>
      </c>
      <c r="F470" s="10" t="s">
        <v>4462</v>
      </c>
      <c r="G470" s="10" t="s">
        <v>9535</v>
      </c>
      <c r="H470" s="24" t="s">
        <v>2407</v>
      </c>
      <c r="I470" s="10" t="s">
        <v>7231</v>
      </c>
      <c r="J470" s="10"/>
    </row>
    <row r="471" spans="1:10" x14ac:dyDescent="0.35">
      <c r="A471" s="26" t="s">
        <v>1065</v>
      </c>
      <c r="B471" s="27" t="s">
        <v>1029</v>
      </c>
      <c r="C471" s="26" t="s">
        <v>324</v>
      </c>
      <c r="D471" s="26" t="s">
        <v>1051</v>
      </c>
      <c r="E471" s="26" t="s">
        <v>1037</v>
      </c>
      <c r="F471" s="26" t="s">
        <v>7594</v>
      </c>
    </row>
    <row r="472" spans="1:10" s="10" customFormat="1" x14ac:dyDescent="0.3">
      <c r="A472" s="10" t="s">
        <v>5881</v>
      </c>
      <c r="B472" s="10" t="s">
        <v>473</v>
      </c>
      <c r="C472" s="10" t="s">
        <v>4065</v>
      </c>
      <c r="D472" s="10" t="s">
        <v>5876</v>
      </c>
    </row>
    <row r="473" spans="1:10" s="10" customFormat="1" x14ac:dyDescent="0.3">
      <c r="A473" s="10" t="s">
        <v>880</v>
      </c>
      <c r="B473" s="10" t="s">
        <v>1669</v>
      </c>
      <c r="C473" s="10" t="s">
        <v>972</v>
      </c>
      <c r="D473" s="10" t="s">
        <v>7374</v>
      </c>
      <c r="E473" s="10" t="s">
        <v>4600</v>
      </c>
      <c r="F473" s="10" t="s">
        <v>900</v>
      </c>
      <c r="G473" s="10" t="s">
        <v>3176</v>
      </c>
      <c r="H473" s="10" t="s">
        <v>3180</v>
      </c>
      <c r="I473" s="10" t="s">
        <v>2401</v>
      </c>
    </row>
    <row r="474" spans="1:10" s="10" customFormat="1" x14ac:dyDescent="0.35">
      <c r="A474" s="26" t="s">
        <v>4547</v>
      </c>
      <c r="B474" s="27" t="s">
        <v>884</v>
      </c>
      <c r="C474" s="27" t="s">
        <v>892</v>
      </c>
      <c r="D474" s="26" t="s">
        <v>9517</v>
      </c>
      <c r="E474" s="26" t="s">
        <v>968</v>
      </c>
      <c r="F474" s="26" t="s">
        <v>876</v>
      </c>
      <c r="G474" s="26" t="s">
        <v>904</v>
      </c>
      <c r="H474" s="26" t="s">
        <v>3195</v>
      </c>
      <c r="I474" s="26" t="s">
        <v>900</v>
      </c>
      <c r="J474" s="26"/>
    </row>
    <row r="475" spans="1:10" x14ac:dyDescent="0.35">
      <c r="A475" s="26" t="s">
        <v>3275</v>
      </c>
      <c r="B475" s="26" t="s">
        <v>6572</v>
      </c>
      <c r="C475" s="26" t="s">
        <v>544</v>
      </c>
      <c r="D475" s="27" t="s">
        <v>490</v>
      </c>
      <c r="E475" s="26" t="s">
        <v>3962</v>
      </c>
      <c r="F475" s="26" t="s">
        <v>5024</v>
      </c>
    </row>
    <row r="476" spans="1:10" s="10" customFormat="1" x14ac:dyDescent="0.35">
      <c r="A476" s="26" t="s">
        <v>5885</v>
      </c>
      <c r="B476" s="26" t="s">
        <v>5905</v>
      </c>
      <c r="C476" s="27" t="s">
        <v>1842</v>
      </c>
      <c r="D476" s="26" t="s">
        <v>3548</v>
      </c>
      <c r="E476" s="24" t="s">
        <v>1548</v>
      </c>
      <c r="F476" s="24" t="s">
        <v>1552</v>
      </c>
      <c r="G476" s="26" t="s">
        <v>5761</v>
      </c>
      <c r="H476" s="26" t="s">
        <v>7742</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5490</v>
      </c>
      <c r="D478" s="26" t="s">
        <v>670</v>
      </c>
      <c r="E478" s="26" t="s">
        <v>3903</v>
      </c>
      <c r="F478" s="26" t="s">
        <v>5726</v>
      </c>
      <c r="G478" s="26" t="s">
        <v>3004</v>
      </c>
      <c r="H478" s="26"/>
      <c r="I478" s="26"/>
      <c r="J478" s="26"/>
    </row>
    <row r="479" spans="1:10" x14ac:dyDescent="0.3">
      <c r="A479" s="19" t="s">
        <v>4078</v>
      </c>
      <c r="B479" s="10" t="s">
        <v>6664</v>
      </c>
      <c r="C479" s="10" t="s">
        <v>4033</v>
      </c>
      <c r="D479" s="10" t="s">
        <v>3442</v>
      </c>
      <c r="E479" s="10"/>
      <c r="F479" s="10"/>
      <c r="G479" s="10"/>
      <c r="H479" s="10"/>
      <c r="I479" s="10"/>
      <c r="J479" s="10"/>
    </row>
    <row r="480" spans="1:10" x14ac:dyDescent="0.3">
      <c r="A480" s="10" t="s">
        <v>5893</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5401</v>
      </c>
      <c r="G481" s="10" t="s">
        <v>3327</v>
      </c>
      <c r="H481" s="10"/>
      <c r="I481" s="10"/>
      <c r="J481" s="10"/>
    </row>
    <row r="482" spans="1:10" x14ac:dyDescent="0.35">
      <c r="A482" s="26" t="s">
        <v>4551</v>
      </c>
      <c r="B482" s="27" t="s">
        <v>756</v>
      </c>
      <c r="C482" s="26" t="s">
        <v>6712</v>
      </c>
    </row>
    <row r="483" spans="1:10" s="10" customFormat="1" x14ac:dyDescent="0.3">
      <c r="A483" s="10" t="s">
        <v>835</v>
      </c>
      <c r="B483" s="10" t="s">
        <v>34</v>
      </c>
      <c r="C483" s="10" t="s">
        <v>4600</v>
      </c>
      <c r="D483" s="10" t="s">
        <v>3363</v>
      </c>
      <c r="E483" s="10" t="s">
        <v>7600</v>
      </c>
    </row>
    <row r="484" spans="1:10" x14ac:dyDescent="0.3">
      <c r="A484" s="26" t="s">
        <v>1069</v>
      </c>
      <c r="B484" s="26" t="s">
        <v>1051</v>
      </c>
      <c r="C484" s="26" t="s">
        <v>5843</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9589</v>
      </c>
      <c r="E486" s="26" t="s">
        <v>828</v>
      </c>
      <c r="F486" s="26" t="s">
        <v>820</v>
      </c>
      <c r="G486" s="26" t="s">
        <v>823</v>
      </c>
      <c r="H486" s="26" t="s">
        <v>3345</v>
      </c>
      <c r="I486" s="26" t="s">
        <v>3349</v>
      </c>
    </row>
    <row r="487" spans="1:10" x14ac:dyDescent="0.3">
      <c r="A487" s="26" t="s">
        <v>4559</v>
      </c>
      <c r="B487" s="26" t="s">
        <v>4493</v>
      </c>
      <c r="C487" s="26" t="s">
        <v>1037</v>
      </c>
      <c r="D487" s="26" t="s">
        <v>7046</v>
      </c>
      <c r="E487" s="26" t="s">
        <v>4751</v>
      </c>
      <c r="F487" s="26" t="s">
        <v>7584</v>
      </c>
    </row>
    <row r="488" spans="1:10" x14ac:dyDescent="0.3">
      <c r="A488" s="26" t="s">
        <v>4567</v>
      </c>
      <c r="B488" s="26" t="s">
        <v>5912</v>
      </c>
      <c r="C488" s="26" t="s">
        <v>6824</v>
      </c>
      <c r="D488" s="26" t="s">
        <v>6772</v>
      </c>
      <c r="E488" s="26" t="s">
        <v>6222</v>
      </c>
      <c r="F488" s="26" t="s">
        <v>3857</v>
      </c>
    </row>
    <row r="489" spans="1:10" s="10" customFormat="1" x14ac:dyDescent="0.3">
      <c r="A489" s="26" t="s">
        <v>3210</v>
      </c>
      <c r="B489" s="26" t="s">
        <v>3214</v>
      </c>
      <c r="C489" s="26" t="s">
        <v>802</v>
      </c>
      <c r="D489" s="26" t="s">
        <v>7617</v>
      </c>
      <c r="E489" s="26" t="s">
        <v>6572</v>
      </c>
      <c r="F489" s="26" t="s">
        <v>808</v>
      </c>
      <c r="G489" s="26" t="s">
        <v>812</v>
      </c>
      <c r="H489" s="26"/>
      <c r="I489" s="26"/>
      <c r="J489" s="26"/>
    </row>
    <row r="490" spans="1:10" x14ac:dyDescent="0.3">
      <c r="A490" s="10" t="s">
        <v>416</v>
      </c>
      <c r="B490" s="10" t="s">
        <v>5693</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5902</v>
      </c>
      <c r="B492" s="26" t="s">
        <v>2721</v>
      </c>
      <c r="C492" s="26" t="s">
        <v>4302</v>
      </c>
      <c r="D492" s="26" t="s">
        <v>9502</v>
      </c>
      <c r="E492" s="26"/>
      <c r="F492" s="26"/>
      <c r="G492" s="26"/>
      <c r="H492" s="26"/>
      <c r="I492" s="26"/>
      <c r="J492" s="26"/>
    </row>
    <row r="493" spans="1:10" s="10" customFormat="1" x14ac:dyDescent="0.35">
      <c r="A493" s="26" t="s">
        <v>4575</v>
      </c>
      <c r="B493" s="27" t="s">
        <v>6498</v>
      </c>
      <c r="C493" s="27" t="s">
        <v>4420</v>
      </c>
      <c r="D493" s="27" t="s">
        <v>2604</v>
      </c>
      <c r="E493" s="26" t="s">
        <v>5713</v>
      </c>
      <c r="F493" s="26" t="s">
        <v>2871</v>
      </c>
      <c r="G493" s="26" t="s">
        <v>5978</v>
      </c>
      <c r="H493" s="26"/>
      <c r="I493" s="26"/>
      <c r="J493" s="26"/>
    </row>
    <row r="494" spans="1:10" x14ac:dyDescent="0.3">
      <c r="A494" s="26" t="s">
        <v>4583</v>
      </c>
      <c r="B494" s="26" t="s">
        <v>6664</v>
      </c>
      <c r="C494" s="26" t="s">
        <v>1617</v>
      </c>
      <c r="D494" s="26" t="s">
        <v>1627</v>
      </c>
      <c r="E494" s="26" t="s">
        <v>1622</v>
      </c>
    </row>
    <row r="495" spans="1:10" x14ac:dyDescent="0.3">
      <c r="A495" s="26" t="s">
        <v>3214</v>
      </c>
      <c r="B495" s="26" t="s">
        <v>6572</v>
      </c>
      <c r="C495" s="26" t="s">
        <v>7617</v>
      </c>
      <c r="D495" s="26" t="s">
        <v>802</v>
      </c>
      <c r="E495" s="26" t="s">
        <v>808</v>
      </c>
      <c r="F495" s="26" t="s">
        <v>3203</v>
      </c>
      <c r="G495" s="26" t="s">
        <v>3206</v>
      </c>
      <c r="H495" s="26" t="s">
        <v>812</v>
      </c>
      <c r="I495" s="26" t="s">
        <v>7146</v>
      </c>
    </row>
    <row r="496" spans="1:10" s="10" customFormat="1" x14ac:dyDescent="0.3">
      <c r="A496" s="10" t="s">
        <v>1293</v>
      </c>
      <c r="B496" s="10" t="s">
        <v>1169</v>
      </c>
      <c r="C496" s="10" t="s">
        <v>1319</v>
      </c>
      <c r="D496" s="10" t="s">
        <v>3753</v>
      </c>
    </row>
    <row r="497" spans="1:10" x14ac:dyDescent="0.35">
      <c r="A497" s="26" t="s">
        <v>5905</v>
      </c>
      <c r="B497" s="27" t="s">
        <v>1678</v>
      </c>
      <c r="C497" s="27" t="s">
        <v>1540</v>
      </c>
      <c r="D497" s="27" t="s">
        <v>3321</v>
      </c>
      <c r="E497" s="26" t="s">
        <v>1537</v>
      </c>
      <c r="F497" s="26" t="s">
        <v>1545</v>
      </c>
      <c r="G497" s="26" t="s">
        <v>1555</v>
      </c>
      <c r="H497" s="26" t="s">
        <v>1594</v>
      </c>
      <c r="I497" s="26" t="s">
        <v>7453</v>
      </c>
    </row>
    <row r="498" spans="1:10" x14ac:dyDescent="0.3">
      <c r="A498" s="26" t="s">
        <v>4587</v>
      </c>
      <c r="B498" s="26" t="s">
        <v>6067</v>
      </c>
      <c r="C498" s="26" t="s">
        <v>5713</v>
      </c>
      <c r="D498" s="26" t="s">
        <v>6404</v>
      </c>
      <c r="E498" s="26" t="s">
        <v>3865</v>
      </c>
    </row>
    <row r="499" spans="1:10" x14ac:dyDescent="0.3">
      <c r="A499" s="10" t="s">
        <v>3180</v>
      </c>
      <c r="B499" s="10" t="s">
        <v>34</v>
      </c>
      <c r="C499" s="10" t="s">
        <v>3176</v>
      </c>
      <c r="D499" s="34" t="s">
        <v>3831</v>
      </c>
      <c r="E499" s="10" t="s">
        <v>3183</v>
      </c>
      <c r="F499" s="10" t="s">
        <v>3192</v>
      </c>
      <c r="G499" s="10" t="s">
        <v>5701</v>
      </c>
      <c r="H499" s="10" t="s">
        <v>4318</v>
      </c>
      <c r="I499" s="10"/>
      <c r="J499" s="10"/>
    </row>
    <row r="500" spans="1:10" x14ac:dyDescent="0.3">
      <c r="A500" s="10" t="s">
        <v>5912</v>
      </c>
      <c r="B500" s="10" t="s">
        <v>4121</v>
      </c>
      <c r="C500" s="10" t="s">
        <v>4711</v>
      </c>
      <c r="D500" s="10" t="s">
        <v>6067</v>
      </c>
      <c r="E500" s="10" t="s">
        <v>6824</v>
      </c>
      <c r="F500" s="10" t="s">
        <v>6772</v>
      </c>
      <c r="G500" s="10" t="s">
        <v>6222</v>
      </c>
      <c r="H500" s="10" t="s">
        <v>7135</v>
      </c>
      <c r="I500" s="10" t="s">
        <v>3180</v>
      </c>
      <c r="J500" s="10" t="s">
        <v>835</v>
      </c>
    </row>
    <row r="501" spans="1:10" s="10" customFormat="1" x14ac:dyDescent="0.3">
      <c r="A501" s="26" t="s">
        <v>5920</v>
      </c>
      <c r="B501" s="26" t="s">
        <v>34</v>
      </c>
      <c r="C501" s="26" t="s">
        <v>3339</v>
      </c>
      <c r="D501" s="26" t="s">
        <v>5292</v>
      </c>
      <c r="E501" s="26" t="s">
        <v>9540</v>
      </c>
      <c r="F501" s="26" t="s">
        <v>7597</v>
      </c>
      <c r="G501" s="26"/>
      <c r="H501" s="26"/>
      <c r="I501" s="26"/>
      <c r="J501" s="26"/>
    </row>
    <row r="502" spans="1:10" x14ac:dyDescent="0.3">
      <c r="A502" s="26" t="s">
        <v>4592</v>
      </c>
      <c r="B502" s="26" t="s">
        <v>4075</v>
      </c>
    </row>
    <row r="503" spans="1:10" x14ac:dyDescent="0.3">
      <c r="A503" s="19" t="s">
        <v>6855</v>
      </c>
      <c r="B503" s="34" t="s">
        <v>4365</v>
      </c>
      <c r="C503" s="10" t="s">
        <v>3442</v>
      </c>
      <c r="D503" s="10" t="s">
        <v>4078</v>
      </c>
      <c r="E503" s="10" t="s">
        <v>4033</v>
      </c>
      <c r="F503" s="10" t="s">
        <v>7003</v>
      </c>
      <c r="G503" s="10" t="s">
        <v>6731</v>
      </c>
      <c r="H503" s="34" t="s">
        <v>2539</v>
      </c>
      <c r="I503" s="10"/>
      <c r="J503" s="10"/>
    </row>
    <row r="504" spans="1:10" x14ac:dyDescent="0.3">
      <c r="A504" s="26" t="s">
        <v>646</v>
      </c>
      <c r="B504" s="26" t="s">
        <v>5863</v>
      </c>
      <c r="C504" s="26" t="s">
        <v>6156</v>
      </c>
      <c r="D504" s="26" t="s">
        <v>1981</v>
      </c>
      <c r="E504" s="26" t="s">
        <v>4065</v>
      </c>
      <c r="F504" s="26" t="s">
        <v>4980</v>
      </c>
      <c r="G504" s="26" t="s">
        <v>4936</v>
      </c>
      <c r="H504" s="26" t="s">
        <v>6389</v>
      </c>
      <c r="I504" s="26" t="s">
        <v>9397</v>
      </c>
    </row>
    <row r="505" spans="1:10" x14ac:dyDescent="0.3">
      <c r="A505" s="26" t="s">
        <v>6872</v>
      </c>
      <c r="B505" s="26" t="s">
        <v>968</v>
      </c>
      <c r="C505" s="26" t="s">
        <v>9528</v>
      </c>
      <c r="D505" s="26" t="s">
        <v>4420</v>
      </c>
      <c r="E505" s="26" t="s">
        <v>5983</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5876</v>
      </c>
      <c r="C507" s="26" t="s">
        <v>5859</v>
      </c>
      <c r="D507" s="27" t="s">
        <v>6043</v>
      </c>
      <c r="E507" s="26" t="s">
        <v>3720</v>
      </c>
      <c r="F507" s="26" t="s">
        <v>3990</v>
      </c>
    </row>
    <row r="508" spans="1:10" s="10" customFormat="1" x14ac:dyDescent="0.3">
      <c r="A508" s="10" t="s">
        <v>1248</v>
      </c>
      <c r="B508" s="10" t="s">
        <v>1169</v>
      </c>
      <c r="C508" s="10" t="s">
        <v>9613</v>
      </c>
      <c r="D508" s="34" t="s">
        <v>1216</v>
      </c>
      <c r="E508" s="10" t="s">
        <v>3753</v>
      </c>
    </row>
    <row r="509" spans="1:10" s="10" customFormat="1" x14ac:dyDescent="0.3">
      <c r="A509" s="26" t="s">
        <v>4596</v>
      </c>
      <c r="B509" s="26" t="s">
        <v>733</v>
      </c>
      <c r="C509" s="26" t="s">
        <v>2636</v>
      </c>
      <c r="D509" s="26" t="s">
        <v>7425</v>
      </c>
      <c r="E509" s="26" t="s">
        <v>7170</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9542</v>
      </c>
      <c r="J510" s="26"/>
    </row>
    <row r="511" spans="1:10" s="10" customFormat="1" x14ac:dyDescent="0.3">
      <c r="A511" s="26" t="s">
        <v>6727</v>
      </c>
      <c r="B511" s="26" t="s">
        <v>733</v>
      </c>
      <c r="C511" s="26" t="s">
        <v>1037</v>
      </c>
      <c r="D511" s="26" t="s">
        <v>7425</v>
      </c>
      <c r="E511" s="26" t="s">
        <v>1669</v>
      </c>
      <c r="F511" s="26"/>
      <c r="G511" s="26"/>
      <c r="H511" s="26"/>
      <c r="I511" s="26"/>
      <c r="J511" s="26"/>
    </row>
    <row r="512" spans="1:10" s="10" customFormat="1" x14ac:dyDescent="0.35">
      <c r="A512" s="26" t="s">
        <v>4608</v>
      </c>
      <c r="B512" s="27" t="s">
        <v>5643</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4616</v>
      </c>
      <c r="B514" s="26" t="s">
        <v>73</v>
      </c>
      <c r="C514" s="26" t="s">
        <v>9558</v>
      </c>
      <c r="D514" s="26" t="s">
        <v>9566</v>
      </c>
      <c r="E514" s="26" t="s">
        <v>5288</v>
      </c>
      <c r="F514" s="26" t="s">
        <v>802</v>
      </c>
      <c r="G514" s="26" t="s">
        <v>808</v>
      </c>
      <c r="H514" s="26" t="s">
        <v>728</v>
      </c>
    </row>
    <row r="515" spans="1:10" x14ac:dyDescent="0.3">
      <c r="A515" s="10" t="s">
        <v>2732</v>
      </c>
      <c r="B515" s="10" t="s">
        <v>415</v>
      </c>
      <c r="C515" s="10" t="s">
        <v>3414</v>
      </c>
      <c r="D515" s="10" t="s">
        <v>23</v>
      </c>
      <c r="E515" s="10" t="s">
        <v>7617</v>
      </c>
      <c r="F515" s="10"/>
      <c r="G515" s="10"/>
      <c r="H515" s="10"/>
      <c r="I515" s="10"/>
      <c r="J515" s="10"/>
    </row>
    <row r="516" spans="1:10" x14ac:dyDescent="0.3">
      <c r="A516" s="10" t="s">
        <v>2119</v>
      </c>
      <c r="B516" s="34" t="s">
        <v>7594</v>
      </c>
      <c r="C516" s="10" t="s">
        <v>2124</v>
      </c>
      <c r="D516" s="10" t="s">
        <v>2119</v>
      </c>
      <c r="E516" s="10" t="s">
        <v>7358</v>
      </c>
      <c r="F516" s="10" t="s">
        <v>5837</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5388</v>
      </c>
      <c r="C518" s="10" t="s">
        <v>29</v>
      </c>
    </row>
    <row r="519" spans="1:10" x14ac:dyDescent="0.3">
      <c r="A519" s="19" t="s">
        <v>5923</v>
      </c>
      <c r="B519" s="34" t="s">
        <v>6622</v>
      </c>
      <c r="C519" s="34" t="s">
        <v>6656</v>
      </c>
      <c r="D519" s="10" t="s">
        <v>3481</v>
      </c>
      <c r="E519" s="10" t="s">
        <v>6824</v>
      </c>
      <c r="F519" s="10" t="s">
        <v>4960</v>
      </c>
      <c r="G519" s="10" t="s">
        <v>5528</v>
      </c>
      <c r="H519" s="10" t="s">
        <v>5087</v>
      </c>
      <c r="I519" s="10" t="s">
        <v>6487</v>
      </c>
      <c r="J519" s="10"/>
    </row>
    <row r="520" spans="1:10" x14ac:dyDescent="0.35">
      <c r="A520" s="26" t="s">
        <v>4622</v>
      </c>
      <c r="B520" s="24" t="s">
        <v>2563</v>
      </c>
      <c r="C520" s="26" t="s">
        <v>6368</v>
      </c>
      <c r="D520" s="26" t="s">
        <v>2156</v>
      </c>
      <c r="E520" s="26" t="s">
        <v>1474</v>
      </c>
      <c r="F520" s="26" t="s">
        <v>1478</v>
      </c>
    </row>
    <row r="521" spans="1:10" x14ac:dyDescent="0.3">
      <c r="A521" s="26" t="s">
        <v>4626</v>
      </c>
      <c r="B521" s="26" t="s">
        <v>6572</v>
      </c>
      <c r="C521" s="26" t="s">
        <v>3287</v>
      </c>
      <c r="D521" s="26" t="s">
        <v>9449</v>
      </c>
      <c r="E521" s="26" t="s">
        <v>3304</v>
      </c>
      <c r="F521" s="26" t="s">
        <v>5931</v>
      </c>
      <c r="G521" s="26" t="s">
        <v>2124</v>
      </c>
    </row>
    <row r="522" spans="1:10" x14ac:dyDescent="0.3">
      <c r="A522" s="26" t="s">
        <v>4630</v>
      </c>
    </row>
    <row r="523" spans="1:10" x14ac:dyDescent="0.3">
      <c r="A523" s="10" t="s">
        <v>5931</v>
      </c>
      <c r="B523" s="10" t="s">
        <v>6572</v>
      </c>
      <c r="C523" s="10" t="s">
        <v>1021</v>
      </c>
      <c r="D523" s="10" t="s">
        <v>3304</v>
      </c>
      <c r="E523" s="10" t="s">
        <v>1106</v>
      </c>
      <c r="F523" s="10" t="s">
        <v>1094</v>
      </c>
      <c r="G523" s="10" t="s">
        <v>928</v>
      </c>
      <c r="H523" s="10" t="s">
        <v>932</v>
      </c>
      <c r="I523" s="10" t="s">
        <v>2390</v>
      </c>
      <c r="J523" s="10"/>
    </row>
    <row r="524" spans="1:10" x14ac:dyDescent="0.3">
      <c r="A524" s="10" t="s">
        <v>9406</v>
      </c>
      <c r="B524" s="10" t="s">
        <v>1842</v>
      </c>
      <c r="C524" s="10" t="s">
        <v>2008</v>
      </c>
      <c r="D524" s="10" t="s">
        <v>7400</v>
      </c>
      <c r="E524" s="34" t="s">
        <v>2063</v>
      </c>
      <c r="F524" s="10" t="s">
        <v>82</v>
      </c>
      <c r="G524" s="10" t="s">
        <v>5866</v>
      </c>
      <c r="H524" s="10" t="s">
        <v>5870</v>
      </c>
      <c r="I524" s="10"/>
      <c r="J524" s="10"/>
    </row>
    <row r="525" spans="1:10" s="10" customFormat="1" x14ac:dyDescent="0.3">
      <c r="A525" s="26" t="s">
        <v>4637</v>
      </c>
      <c r="B525" s="26" t="s">
        <v>1678</v>
      </c>
      <c r="C525" s="26" t="s">
        <v>1617</v>
      </c>
      <c r="D525" s="26" t="s">
        <v>1639</v>
      </c>
      <c r="E525" s="26" t="s">
        <v>6004</v>
      </c>
      <c r="F525" s="26" t="s">
        <v>2481</v>
      </c>
      <c r="G525" s="26"/>
      <c r="H525" s="26"/>
      <c r="I525" s="26"/>
      <c r="J525" s="26"/>
    </row>
    <row r="526" spans="1:10" s="10" customFormat="1" x14ac:dyDescent="0.3">
      <c r="A526" s="26" t="s">
        <v>5935</v>
      </c>
      <c r="B526" s="26" t="s">
        <v>5639</v>
      </c>
      <c r="C526" s="26" t="s">
        <v>6884</v>
      </c>
      <c r="D526" s="26" t="s">
        <v>5466</v>
      </c>
      <c r="E526" s="26"/>
      <c r="F526" s="26"/>
      <c r="G526" s="26"/>
      <c r="H526" s="26"/>
      <c r="I526" s="26"/>
      <c r="J526" s="26"/>
    </row>
    <row r="527" spans="1:10" s="10" customFormat="1" x14ac:dyDescent="0.3">
      <c r="A527" s="26" t="s">
        <v>6930</v>
      </c>
      <c r="B527" s="26" t="s">
        <v>5829</v>
      </c>
      <c r="C527" s="26" t="s">
        <v>535</v>
      </c>
      <c r="D527" s="26" t="s">
        <v>9575</v>
      </c>
      <c r="E527" s="26"/>
      <c r="F527" s="26"/>
      <c r="G527" s="26"/>
      <c r="H527" s="26"/>
      <c r="I527" s="26"/>
      <c r="J527" s="26"/>
    </row>
    <row r="528" spans="1:10" x14ac:dyDescent="0.3">
      <c r="A528" s="26" t="s">
        <v>4641</v>
      </c>
      <c r="B528" s="26" t="s">
        <v>6599</v>
      </c>
      <c r="C528" s="26" t="s">
        <v>4645</v>
      </c>
      <c r="D528" s="26" t="s">
        <v>2610</v>
      </c>
      <c r="E528" s="26" t="s">
        <v>2618</v>
      </c>
      <c r="F528" s="26" t="s">
        <v>2614</v>
      </c>
      <c r="G528" s="26" t="s">
        <v>2515</v>
      </c>
    </row>
    <row r="529" spans="1:10" x14ac:dyDescent="0.3">
      <c r="A529" s="26" t="s">
        <v>5943</v>
      </c>
      <c r="B529" s="26" t="s">
        <v>6389</v>
      </c>
      <c r="C529" s="26" t="s">
        <v>446</v>
      </c>
      <c r="D529" s="26" t="s">
        <v>6552</v>
      </c>
      <c r="E529" s="26" t="s">
        <v>5372</v>
      </c>
      <c r="F529" s="26" t="s">
        <v>5504</v>
      </c>
      <c r="G529" s="26" t="s">
        <v>6398</v>
      </c>
      <c r="H529" s="26" t="s">
        <v>6432</v>
      </c>
    </row>
    <row r="530" spans="1:10" x14ac:dyDescent="0.35">
      <c r="A530" s="26" t="s">
        <v>4645</v>
      </c>
      <c r="B530" s="26" t="s">
        <v>5429</v>
      </c>
      <c r="C530" s="27" t="s">
        <v>5970</v>
      </c>
      <c r="D530" s="27" t="s">
        <v>6475</v>
      </c>
      <c r="E530" s="26" t="s">
        <v>4800</v>
      </c>
      <c r="F530" s="26" t="s">
        <v>6168</v>
      </c>
    </row>
    <row r="531" spans="1:10" x14ac:dyDescent="0.3">
      <c r="A531" s="10" t="s">
        <v>884</v>
      </c>
      <c r="B531" s="10" t="s">
        <v>4547</v>
      </c>
      <c r="C531" s="10" t="s">
        <v>972</v>
      </c>
      <c r="D531" s="10" t="s">
        <v>1669</v>
      </c>
      <c r="E531" s="10" t="s">
        <v>3195</v>
      </c>
      <c r="F531" s="10" t="s">
        <v>5761</v>
      </c>
      <c r="G531" s="10" t="s">
        <v>3176</v>
      </c>
      <c r="H531" s="10" t="s">
        <v>3180</v>
      </c>
      <c r="I531" s="10"/>
      <c r="J531" s="10"/>
    </row>
    <row r="532" spans="1:10" x14ac:dyDescent="0.3">
      <c r="A532" s="10" t="s">
        <v>9520</v>
      </c>
      <c r="B532" s="10" t="s">
        <v>458</v>
      </c>
      <c r="C532" s="10" t="s">
        <v>2846</v>
      </c>
      <c r="D532" s="10" t="s">
        <v>7198</v>
      </c>
      <c r="E532" s="10"/>
      <c r="F532" s="10"/>
      <c r="G532" s="10"/>
      <c r="H532" s="10"/>
      <c r="I532" s="10"/>
      <c r="J532" s="10"/>
    </row>
    <row r="533" spans="1:10" x14ac:dyDescent="0.3">
      <c r="A533" s="10" t="s">
        <v>2156</v>
      </c>
      <c r="B533" s="10" t="s">
        <v>458</v>
      </c>
      <c r="C533" s="10" t="s">
        <v>6368</v>
      </c>
      <c r="D533" s="34" t="s">
        <v>3077</v>
      </c>
      <c r="E533" s="34" t="s">
        <v>3074</v>
      </c>
      <c r="F533" s="10"/>
      <c r="G533" s="10"/>
      <c r="H533" s="10"/>
      <c r="I533" s="10"/>
      <c r="J533" s="10"/>
    </row>
    <row r="534" spans="1:10" x14ac:dyDescent="0.3">
      <c r="A534" s="26" t="s">
        <v>5951</v>
      </c>
      <c r="B534" s="26" t="s">
        <v>4784</v>
      </c>
      <c r="C534" s="26" t="s">
        <v>6123</v>
      </c>
      <c r="D534" s="26" t="s">
        <v>4129</v>
      </c>
      <c r="E534" s="26" t="s">
        <v>4622</v>
      </c>
      <c r="F534" s="26" t="s">
        <v>6368</v>
      </c>
      <c r="G534" s="26" t="s">
        <v>5147</v>
      </c>
    </row>
    <row r="535" spans="1:10" s="10" customFormat="1" x14ac:dyDescent="0.3">
      <c r="A535" s="26" t="s">
        <v>4649</v>
      </c>
      <c r="B535" s="26" t="s">
        <v>1697</v>
      </c>
      <c r="C535" s="26" t="s">
        <v>6804</v>
      </c>
      <c r="D535" s="26" t="s">
        <v>5726</v>
      </c>
      <c r="E535" s="26" t="s">
        <v>1718</v>
      </c>
      <c r="F535" s="26"/>
      <c r="G535" s="26"/>
      <c r="H535" s="26"/>
      <c r="I535" s="26"/>
      <c r="J535" s="26"/>
    </row>
    <row r="536" spans="1:10" x14ac:dyDescent="0.35">
      <c r="A536" s="26" t="s">
        <v>5959</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7584</v>
      </c>
    </row>
    <row r="538" spans="1:10" x14ac:dyDescent="0.35">
      <c r="A538" s="26" t="s">
        <v>661</v>
      </c>
      <c r="B538" s="27" t="s">
        <v>458</v>
      </c>
      <c r="C538" s="27" t="s">
        <v>4738</v>
      </c>
      <c r="D538" s="27" t="s">
        <v>5855</v>
      </c>
      <c r="E538" s="27" t="s">
        <v>2124</v>
      </c>
      <c r="F538" s="27" t="s">
        <v>2129</v>
      </c>
    </row>
    <row r="539" spans="1:10" s="10" customFormat="1" x14ac:dyDescent="0.3">
      <c r="A539" s="26" t="s">
        <v>4653</v>
      </c>
      <c r="B539" s="26" t="s">
        <v>6385</v>
      </c>
      <c r="C539" s="26" t="s">
        <v>3116</v>
      </c>
      <c r="D539" s="26" t="s">
        <v>6789</v>
      </c>
      <c r="E539" s="26" t="s">
        <v>2721</v>
      </c>
      <c r="F539" s="26" t="s">
        <v>29</v>
      </c>
      <c r="G539" s="26" t="s">
        <v>3481</v>
      </c>
      <c r="H539" s="26" t="s">
        <v>4065</v>
      </c>
      <c r="I539" s="26"/>
      <c r="J539" s="26"/>
    </row>
    <row r="540" spans="1:10" x14ac:dyDescent="0.35">
      <c r="A540" s="26" t="s">
        <v>5963</v>
      </c>
      <c r="B540" s="26" t="s">
        <v>2590</v>
      </c>
      <c r="C540" s="26" t="s">
        <v>6933</v>
      </c>
      <c r="D540" s="26" t="s">
        <v>5177</v>
      </c>
      <c r="E540" s="26" t="s">
        <v>4649</v>
      </c>
      <c r="F540" s="26" t="s">
        <v>1718</v>
      </c>
      <c r="G540" s="27"/>
    </row>
    <row r="541" spans="1:10" x14ac:dyDescent="0.3">
      <c r="A541" s="10" t="s">
        <v>1617</v>
      </c>
      <c r="B541" s="10" t="s">
        <v>1678</v>
      </c>
      <c r="C541" s="10" t="s">
        <v>2893</v>
      </c>
      <c r="D541" s="10" t="s">
        <v>6731</v>
      </c>
      <c r="E541" s="10" t="s">
        <v>6950</v>
      </c>
      <c r="F541" s="10" t="s">
        <v>1669</v>
      </c>
      <c r="G541" s="10"/>
      <c r="H541" s="10"/>
      <c r="I541" s="10"/>
      <c r="J541" s="10"/>
    </row>
    <row r="542" spans="1:10" s="10" customFormat="1" x14ac:dyDescent="0.3">
      <c r="A542" s="26" t="s">
        <v>6936</v>
      </c>
      <c r="B542" s="26" t="s">
        <v>2369</v>
      </c>
      <c r="C542" s="26" t="s">
        <v>9494</v>
      </c>
      <c r="D542" s="26" t="s">
        <v>4686</v>
      </c>
      <c r="E542" s="26" t="s">
        <v>622</v>
      </c>
      <c r="F542" s="26" t="s">
        <v>4065</v>
      </c>
      <c r="G542" s="26" t="s">
        <v>3588</v>
      </c>
      <c r="H542" s="26" t="s">
        <v>642</v>
      </c>
      <c r="I542" s="26" t="s">
        <v>678</v>
      </c>
      <c r="J542" s="26"/>
    </row>
    <row r="543" spans="1:10" s="10" customFormat="1" x14ac:dyDescent="0.35">
      <c r="A543" s="26" t="s">
        <v>5970</v>
      </c>
      <c r="B543" s="26" t="s">
        <v>4645</v>
      </c>
      <c r="C543" s="27" t="s">
        <v>5799</v>
      </c>
      <c r="D543" s="26" t="s">
        <v>2317</v>
      </c>
      <c r="E543" s="26" t="s">
        <v>3393</v>
      </c>
      <c r="F543" s="26" t="s">
        <v>2846</v>
      </c>
      <c r="G543" s="24" t="s">
        <v>1117</v>
      </c>
      <c r="H543" s="24" t="s">
        <v>1114</v>
      </c>
      <c r="I543" s="26"/>
      <c r="J543" s="26"/>
    </row>
    <row r="544" spans="1:10" s="10" customFormat="1" x14ac:dyDescent="0.3">
      <c r="A544" s="26" t="s">
        <v>4657</v>
      </c>
      <c r="B544" s="26" t="s">
        <v>4857</v>
      </c>
      <c r="C544" s="26" t="s">
        <v>1669</v>
      </c>
      <c r="D544" s="26" t="s">
        <v>6560</v>
      </c>
      <c r="E544" s="26" t="s">
        <v>6035</v>
      </c>
      <c r="F544" s="26" t="s">
        <v>5482</v>
      </c>
      <c r="G544" s="26" t="s">
        <v>7764</v>
      </c>
      <c r="H544" s="26" t="s">
        <v>6075</v>
      </c>
      <c r="I544" s="26"/>
      <c r="J544" s="26"/>
    </row>
    <row r="545" spans="1:10" x14ac:dyDescent="0.3">
      <c r="A545" s="10" t="s">
        <v>828</v>
      </c>
      <c r="B545" s="34" t="s">
        <v>782</v>
      </c>
      <c r="C545" s="34" t="s">
        <v>786</v>
      </c>
      <c r="D545" s="10" t="s">
        <v>820</v>
      </c>
      <c r="E545" s="10" t="s">
        <v>823</v>
      </c>
      <c r="F545" s="34" t="s">
        <v>3200</v>
      </c>
      <c r="G545" s="10" t="s">
        <v>3180</v>
      </c>
      <c r="H545" s="10" t="s">
        <v>426</v>
      </c>
      <c r="I545" s="10" t="s">
        <v>7146</v>
      </c>
      <c r="J545" s="10" t="s">
        <v>2190</v>
      </c>
    </row>
    <row r="546" spans="1:10" x14ac:dyDescent="0.3">
      <c r="A546" s="26" t="s">
        <v>5974</v>
      </c>
      <c r="B546" s="26" t="s">
        <v>1923</v>
      </c>
      <c r="C546" s="26" t="s">
        <v>2804</v>
      </c>
      <c r="D546" s="26" t="s">
        <v>1935</v>
      </c>
      <c r="E546" s="26" t="s">
        <v>3308</v>
      </c>
      <c r="F546" s="26" t="s">
        <v>5401</v>
      </c>
      <c r="G546" s="26" t="s">
        <v>1529</v>
      </c>
    </row>
    <row r="547" spans="1:10" x14ac:dyDescent="0.35">
      <c r="A547" s="26" t="s">
        <v>5978</v>
      </c>
      <c r="B547" s="27" t="s">
        <v>4738</v>
      </c>
      <c r="C547" s="27" t="s">
        <v>5562</v>
      </c>
      <c r="D547" s="27" t="s">
        <v>5445</v>
      </c>
      <c r="E547" s="26" t="s">
        <v>2871</v>
      </c>
      <c r="F547" s="26" t="s">
        <v>908</v>
      </c>
      <c r="G547" s="26" t="s">
        <v>912</v>
      </c>
      <c r="H547" s="26" t="s">
        <v>2129</v>
      </c>
      <c r="I547" s="26" t="s">
        <v>4664</v>
      </c>
    </row>
    <row r="548" spans="1:10" s="10" customFormat="1" x14ac:dyDescent="0.3">
      <c r="A548" s="10" t="s">
        <v>872</v>
      </c>
      <c r="B548" s="10" t="s">
        <v>876</v>
      </c>
      <c r="C548" s="10" t="s">
        <v>867</v>
      </c>
      <c r="D548" s="10" t="s">
        <v>3504</v>
      </c>
      <c r="E548" s="10" t="s">
        <v>4670</v>
      </c>
      <c r="F548" s="10" t="s">
        <v>3195</v>
      </c>
    </row>
    <row r="549" spans="1:10" x14ac:dyDescent="0.3">
      <c r="A549" s="10" t="s">
        <v>2772</v>
      </c>
      <c r="B549" s="10" t="s">
        <v>34</v>
      </c>
      <c r="C549" s="10" t="s">
        <v>2762</v>
      </c>
      <c r="D549" s="10" t="s">
        <v>7425</v>
      </c>
      <c r="E549" s="10" t="s">
        <v>6233</v>
      </c>
      <c r="F549" s="10" t="s">
        <v>1037</v>
      </c>
      <c r="G549" s="10" t="s">
        <v>2786</v>
      </c>
      <c r="H549" s="10" t="s">
        <v>9654</v>
      </c>
      <c r="I549" s="10"/>
      <c r="J549" s="10"/>
    </row>
    <row r="550" spans="1:10" x14ac:dyDescent="0.3">
      <c r="A550" s="10" t="s">
        <v>908</v>
      </c>
      <c r="B550" s="10" t="s">
        <v>4770</v>
      </c>
      <c r="C550" s="10" t="s">
        <v>912</v>
      </c>
      <c r="D550" s="10" t="s">
        <v>904</v>
      </c>
      <c r="E550" s="10" t="s">
        <v>880</v>
      </c>
      <c r="F550" s="10" t="s">
        <v>960</v>
      </c>
      <c r="G550" s="10"/>
      <c r="H550" s="10"/>
      <c r="I550" s="10"/>
      <c r="J550" s="10"/>
    </row>
    <row r="551" spans="1:10" x14ac:dyDescent="0.35">
      <c r="A551" s="26" t="s">
        <v>4664</v>
      </c>
      <c r="B551" s="27" t="s">
        <v>4733</v>
      </c>
      <c r="C551" s="26" t="s">
        <v>5978</v>
      </c>
    </row>
    <row r="552" spans="1:10" x14ac:dyDescent="0.35">
      <c r="A552" s="26" t="s">
        <v>5983</v>
      </c>
      <c r="B552" s="26" t="s">
        <v>6811</v>
      </c>
      <c r="C552" s="27" t="s">
        <v>4770</v>
      </c>
      <c r="D552" s="26" t="s">
        <v>9528</v>
      </c>
      <c r="E552" s="26" t="s">
        <v>4420</v>
      </c>
      <c r="F552" s="26" t="s">
        <v>968</v>
      </c>
      <c r="G552" s="26" t="s">
        <v>872</v>
      </c>
      <c r="H552" s="26" t="s">
        <v>876</v>
      </c>
    </row>
    <row r="553" spans="1:10" s="10" customFormat="1" x14ac:dyDescent="0.3">
      <c r="A553" s="26" t="s">
        <v>5987</v>
      </c>
      <c r="B553" s="26" t="s">
        <v>6104</v>
      </c>
      <c r="C553" s="26" t="s">
        <v>6715</v>
      </c>
      <c r="D553" s="26" t="s">
        <v>6697</v>
      </c>
      <c r="E553" s="26"/>
      <c r="F553" s="26"/>
      <c r="G553" s="26"/>
      <c r="H553" s="26"/>
      <c r="I553" s="26"/>
      <c r="J553" s="26"/>
    </row>
    <row r="554" spans="1:10" x14ac:dyDescent="0.3">
      <c r="A554" s="10" t="s">
        <v>1622</v>
      </c>
      <c r="B554" s="10" t="s">
        <v>5028</v>
      </c>
      <c r="C554" s="10" t="s">
        <v>1630</v>
      </c>
      <c r="D554" s="10" t="s">
        <v>4980</v>
      </c>
      <c r="E554" s="10" t="s">
        <v>1627</v>
      </c>
      <c r="F554" s="10" t="s">
        <v>4693</v>
      </c>
      <c r="G554" s="34" t="s">
        <v>1661</v>
      </c>
      <c r="H554" s="10"/>
      <c r="I554" s="10"/>
      <c r="J554" s="10"/>
    </row>
    <row r="555" spans="1:10" s="10" customFormat="1" x14ac:dyDescent="0.35">
      <c r="A555" s="26" t="s">
        <v>4670</v>
      </c>
      <c r="B555" s="27" t="s">
        <v>6831</v>
      </c>
      <c r="C555" s="27" t="s">
        <v>876</v>
      </c>
      <c r="D555" s="26" t="s">
        <v>872</v>
      </c>
      <c r="E555" s="26" t="s">
        <v>880</v>
      </c>
      <c r="F555" s="26" t="s">
        <v>2124</v>
      </c>
      <c r="G555" s="26" t="s">
        <v>9591</v>
      </c>
      <c r="H555" s="26"/>
      <c r="I555" s="26"/>
      <c r="J555" s="26"/>
    </row>
    <row r="556" spans="1:10" x14ac:dyDescent="0.35">
      <c r="A556" s="26" t="s">
        <v>5990</v>
      </c>
      <c r="B556" s="27" t="s">
        <v>5458</v>
      </c>
      <c r="C556" s="27" t="s">
        <v>4733</v>
      </c>
      <c r="D556" s="27" t="s">
        <v>4738</v>
      </c>
      <c r="E556" s="26" t="s">
        <v>6091</v>
      </c>
    </row>
    <row r="557" spans="1:10" x14ac:dyDescent="0.35">
      <c r="A557" s="26" t="s">
        <v>1915</v>
      </c>
      <c r="B557" s="27" t="s">
        <v>1935</v>
      </c>
      <c r="C557" s="27" t="s">
        <v>7432</v>
      </c>
      <c r="D557" s="27" t="s">
        <v>7649</v>
      </c>
      <c r="E557" s="26" t="s">
        <v>2346</v>
      </c>
      <c r="F557" s="26" t="s">
        <v>1307</v>
      </c>
    </row>
    <row r="558" spans="1:10" x14ac:dyDescent="0.35">
      <c r="A558" s="26" t="s">
        <v>4678</v>
      </c>
      <c r="B558" s="27" t="s">
        <v>2811</v>
      </c>
      <c r="C558" s="27" t="s">
        <v>2361</v>
      </c>
      <c r="D558" s="27" t="s">
        <v>3839</v>
      </c>
      <c r="E558" s="27" t="s">
        <v>4800</v>
      </c>
      <c r="F558" s="27" t="s">
        <v>4857</v>
      </c>
      <c r="G558" s="26" t="s">
        <v>2569</v>
      </c>
    </row>
    <row r="559" spans="1:10" x14ac:dyDescent="0.3">
      <c r="A559" s="10" t="s">
        <v>1185</v>
      </c>
      <c r="B559" s="10" t="s">
        <v>1169</v>
      </c>
      <c r="C559" s="10" t="s">
        <v>278</v>
      </c>
      <c r="D559" s="10" t="s">
        <v>2825</v>
      </c>
      <c r="E559" s="10" t="s">
        <v>6914</v>
      </c>
      <c r="F559" s="10"/>
      <c r="G559" s="10"/>
      <c r="H559" s="10"/>
      <c r="I559" s="10"/>
      <c r="J559" s="10"/>
    </row>
    <row r="560" spans="1:10" s="10" customFormat="1" x14ac:dyDescent="0.3">
      <c r="A560" s="26" t="s">
        <v>6004</v>
      </c>
      <c r="B560" s="26" t="s">
        <v>2119</v>
      </c>
      <c r="C560" s="26" t="s">
        <v>2124</v>
      </c>
      <c r="D560" s="26" t="s">
        <v>2115</v>
      </c>
      <c r="E560" s="26" t="s">
        <v>2129</v>
      </c>
      <c r="F560" s="26" t="s">
        <v>3120</v>
      </c>
      <c r="G560" s="26" t="s">
        <v>3458</v>
      </c>
      <c r="H560" s="26" t="s">
        <v>7432</v>
      </c>
      <c r="I560" s="26" t="s">
        <v>3705</v>
      </c>
      <c r="J560" s="26"/>
    </row>
    <row r="561" spans="1:10" s="10" customFormat="1" x14ac:dyDescent="0.3">
      <c r="A561" s="10" t="s">
        <v>3369</v>
      </c>
      <c r="B561" s="10" t="s">
        <v>34</v>
      </c>
      <c r="C561" s="10" t="s">
        <v>2178</v>
      </c>
    </row>
    <row r="562" spans="1:10" x14ac:dyDescent="0.3">
      <c r="A562" s="26" t="s">
        <v>3120</v>
      </c>
      <c r="B562" s="26" t="s">
        <v>7594</v>
      </c>
      <c r="C562" s="26" t="s">
        <v>4205</v>
      </c>
    </row>
    <row r="563" spans="1:10" x14ac:dyDescent="0.3">
      <c r="A563" s="26" t="s">
        <v>6008</v>
      </c>
      <c r="B563" s="26" t="s">
        <v>458</v>
      </c>
      <c r="C563" s="26" t="s">
        <v>4065</v>
      </c>
      <c r="D563" s="26" t="s">
        <v>7709</v>
      </c>
      <c r="E563" s="26" t="s">
        <v>1984</v>
      </c>
      <c r="F563" s="26" t="s">
        <v>1992</v>
      </c>
      <c r="G563" s="26" t="s">
        <v>1988</v>
      </c>
      <c r="H563" s="26" t="s">
        <v>2004</v>
      </c>
      <c r="I563" s="26" t="s">
        <v>3954</v>
      </c>
      <c r="J563" s="26" t="s">
        <v>6289</v>
      </c>
    </row>
    <row r="564" spans="1:10" s="10" customFormat="1" x14ac:dyDescent="0.3">
      <c r="A564" s="26" t="s">
        <v>4686</v>
      </c>
      <c r="B564" s="26" t="s">
        <v>5983</v>
      </c>
      <c r="C564" s="26" t="s">
        <v>481</v>
      </c>
      <c r="D564" s="26" t="s">
        <v>1736</v>
      </c>
      <c r="E564" s="26" t="s">
        <v>7584</v>
      </c>
      <c r="F564" s="26" t="s">
        <v>9535</v>
      </c>
      <c r="G564" s="26" t="s">
        <v>944</v>
      </c>
      <c r="H564" s="26" t="s">
        <v>4407</v>
      </c>
      <c r="I564" s="26"/>
      <c r="J564" s="26"/>
    </row>
    <row r="565" spans="1:10" x14ac:dyDescent="0.3">
      <c r="A565" s="26" t="s">
        <v>69</v>
      </c>
      <c r="B565" s="26" t="s">
        <v>2811</v>
      </c>
      <c r="C565" s="26" t="s">
        <v>1678</v>
      </c>
      <c r="D565" s="26" t="s">
        <v>1622</v>
      </c>
      <c r="E565" s="26" t="s">
        <v>2820</v>
      </c>
      <c r="F565" s="26" t="s">
        <v>1627</v>
      </c>
      <c r="G565" s="26" t="s">
        <v>5893</v>
      </c>
      <c r="H565" s="26" t="s">
        <v>1169</v>
      </c>
      <c r="I565" s="26" t="s">
        <v>6857</v>
      </c>
      <c r="J565" s="26" t="s">
        <v>1935</v>
      </c>
    </row>
    <row r="566" spans="1:10" x14ac:dyDescent="0.3">
      <c r="A566" s="10" t="s">
        <v>4693</v>
      </c>
      <c r="B566" s="10" t="s">
        <v>932</v>
      </c>
      <c r="C566" s="10" t="s">
        <v>6035</v>
      </c>
      <c r="D566" s="34" t="s">
        <v>1661</v>
      </c>
      <c r="E566" s="10" t="s">
        <v>2390</v>
      </c>
      <c r="F566" s="10" t="s">
        <v>1622</v>
      </c>
      <c r="G566" s="10" t="s">
        <v>9397</v>
      </c>
      <c r="H566" s="10" t="s">
        <v>3304</v>
      </c>
      <c r="I566" s="10" t="s">
        <v>1094</v>
      </c>
      <c r="J566" s="10" t="s">
        <v>1106</v>
      </c>
    </row>
    <row r="567" spans="1:10" x14ac:dyDescent="0.3">
      <c r="A567" s="10" t="s">
        <v>1042</v>
      </c>
      <c r="B567" s="34" t="s">
        <v>7594</v>
      </c>
      <c r="C567" s="10" t="s">
        <v>1029</v>
      </c>
      <c r="D567" s="10" t="s">
        <v>324</v>
      </c>
      <c r="E567" s="10" t="s">
        <v>7286</v>
      </c>
      <c r="F567" s="10" t="s">
        <v>6839</v>
      </c>
      <c r="G567" s="10"/>
      <c r="H567" s="10"/>
      <c r="I567" s="10"/>
      <c r="J567" s="10"/>
    </row>
    <row r="568" spans="1:10" s="10" customFormat="1" x14ac:dyDescent="0.35">
      <c r="A568" s="26" t="s">
        <v>6016</v>
      </c>
      <c r="B568" s="26" t="s">
        <v>2610</v>
      </c>
      <c r="C568" s="27" t="s">
        <v>6884</v>
      </c>
      <c r="D568" s="27" t="s">
        <v>6792</v>
      </c>
      <c r="E568" s="26" t="s">
        <v>34</v>
      </c>
      <c r="F568" s="26"/>
      <c r="G568" s="26"/>
      <c r="H568" s="26"/>
      <c r="I568" s="26"/>
      <c r="J568" s="26"/>
    </row>
    <row r="569" spans="1:10" x14ac:dyDescent="0.3">
      <c r="A569" s="26" t="s">
        <v>1899</v>
      </c>
      <c r="B569" s="26" t="s">
        <v>1842</v>
      </c>
      <c r="C569" s="26" t="s">
        <v>2820</v>
      </c>
      <c r="D569" s="26" t="s">
        <v>9594</v>
      </c>
      <c r="E569" s="26" t="s">
        <v>6914</v>
      </c>
    </row>
    <row r="570" spans="1:10" s="10" customFormat="1" x14ac:dyDescent="0.3">
      <c r="A570" s="19" t="s">
        <v>6023</v>
      </c>
      <c r="B570" s="10" t="s">
        <v>3658</v>
      </c>
      <c r="C570" s="10" t="s">
        <v>5528</v>
      </c>
      <c r="D570" s="10" t="s">
        <v>5087</v>
      </c>
      <c r="E570" s="10" t="s">
        <v>6487</v>
      </c>
      <c r="F570" s="34" t="s">
        <v>3224</v>
      </c>
    </row>
    <row r="571" spans="1:10" x14ac:dyDescent="0.3">
      <c r="A571" s="26" t="s">
        <v>4697</v>
      </c>
      <c r="B571" s="26" t="s">
        <v>6800</v>
      </c>
      <c r="C571" s="26" t="s">
        <v>832</v>
      </c>
      <c r="D571" s="26" t="s">
        <v>2333</v>
      </c>
      <c r="E571" s="26" t="s">
        <v>4044</v>
      </c>
      <c r="F571" s="26" t="s">
        <v>5726</v>
      </c>
    </row>
    <row r="572" spans="1:10" x14ac:dyDescent="0.35">
      <c r="A572" s="26" t="s">
        <v>6027</v>
      </c>
      <c r="B572" s="26" t="s">
        <v>1868</v>
      </c>
      <c r="C572" s="26" t="s">
        <v>1903</v>
      </c>
      <c r="D572" s="26" t="s">
        <v>1858</v>
      </c>
      <c r="E572" s="27" t="s">
        <v>1895</v>
      </c>
    </row>
    <row r="573" spans="1:10" x14ac:dyDescent="0.3">
      <c r="A573" s="26" t="s">
        <v>6970</v>
      </c>
      <c r="B573" s="26" t="s">
        <v>7594</v>
      </c>
      <c r="C573" s="26" t="s">
        <v>6572</v>
      </c>
      <c r="D573" s="26" t="s">
        <v>3109</v>
      </c>
    </row>
    <row r="574" spans="1:10" x14ac:dyDescent="0.3">
      <c r="A574" s="10" t="s">
        <v>6035</v>
      </c>
      <c r="B574" s="10" t="s">
        <v>1661</v>
      </c>
      <c r="C574" s="10" t="s">
        <v>4857</v>
      </c>
      <c r="D574" s="10" t="s">
        <v>4693</v>
      </c>
      <c r="E574" s="10" t="s">
        <v>6560</v>
      </c>
      <c r="F574" s="10"/>
      <c r="G574" s="10"/>
      <c r="H574" s="10"/>
      <c r="I574" s="10"/>
      <c r="J574" s="10"/>
    </row>
    <row r="575" spans="1:10" s="10" customFormat="1" x14ac:dyDescent="0.35">
      <c r="A575" s="26" t="s">
        <v>4705</v>
      </c>
      <c r="B575" s="26" t="s">
        <v>670</v>
      </c>
      <c r="C575" s="24" t="s">
        <v>9456</v>
      </c>
      <c r="D575" s="24" t="s">
        <v>6599</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6043</v>
      </c>
      <c r="B577" s="26" t="s">
        <v>6023</v>
      </c>
      <c r="C577" s="26" t="s">
        <v>2333</v>
      </c>
      <c r="D577" s="26" t="s">
        <v>2076</v>
      </c>
      <c r="E577" s="26" t="s">
        <v>7597</v>
      </c>
    </row>
    <row r="578" spans="1:10" x14ac:dyDescent="0.35">
      <c r="A578" s="26" t="s">
        <v>6719</v>
      </c>
      <c r="B578" s="26" t="s">
        <v>1037</v>
      </c>
      <c r="C578" s="26" t="s">
        <v>733</v>
      </c>
      <c r="D578" s="26" t="s">
        <v>7170</v>
      </c>
      <c r="E578" s="24" t="s">
        <v>2539</v>
      </c>
      <c r="F578" s="24" t="s">
        <v>1257</v>
      </c>
      <c r="G578" s="26" t="s">
        <v>1265</v>
      </c>
      <c r="H578" s="26" t="s">
        <v>1269</v>
      </c>
      <c r="I578" s="26" t="s">
        <v>2119</v>
      </c>
    </row>
    <row r="579" spans="1:10" x14ac:dyDescent="0.3">
      <c r="A579" s="26" t="s">
        <v>6831</v>
      </c>
      <c r="B579" s="26" t="s">
        <v>415</v>
      </c>
    </row>
    <row r="580" spans="1:10" s="10" customFormat="1" x14ac:dyDescent="0.3">
      <c r="A580" s="26" t="s">
        <v>6839</v>
      </c>
      <c r="B580" s="26" t="s">
        <v>1042</v>
      </c>
      <c r="C580" s="26" t="s">
        <v>2374</v>
      </c>
      <c r="D580" s="26" t="s">
        <v>6252</v>
      </c>
      <c r="E580" s="26" t="s">
        <v>1842</v>
      </c>
      <c r="F580" s="26" t="s">
        <v>2008</v>
      </c>
      <c r="G580" s="26"/>
      <c r="H580" s="26"/>
      <c r="I580" s="26"/>
      <c r="J580" s="26"/>
    </row>
    <row r="581" spans="1:10" x14ac:dyDescent="0.3">
      <c r="A581" s="10" t="s">
        <v>1037</v>
      </c>
      <c r="B581" s="10" t="s">
        <v>7594</v>
      </c>
      <c r="C581" s="10" t="s">
        <v>1029</v>
      </c>
      <c r="D581" s="10" t="s">
        <v>7425</v>
      </c>
      <c r="E581" s="10"/>
      <c r="F581" s="10"/>
      <c r="G581" s="10"/>
      <c r="H581" s="10"/>
      <c r="I581" s="10"/>
      <c r="J581" s="10"/>
    </row>
    <row r="582" spans="1:10" s="10" customFormat="1" x14ac:dyDescent="0.3">
      <c r="A582" s="10" t="s">
        <v>1598</v>
      </c>
      <c r="B582" s="10" t="s">
        <v>2636</v>
      </c>
      <c r="C582" s="10" t="s">
        <v>1190</v>
      </c>
      <c r="D582" s="10" t="s">
        <v>2689</v>
      </c>
      <c r="E582" s="10" t="s">
        <v>2694</v>
      </c>
      <c r="F582" s="10" t="s">
        <v>6914</v>
      </c>
    </row>
    <row r="583" spans="1:10" x14ac:dyDescent="0.35">
      <c r="A583" s="26" t="s">
        <v>6846</v>
      </c>
      <c r="B583" s="26" t="s">
        <v>6412</v>
      </c>
      <c r="C583" s="27" t="s">
        <v>5912</v>
      </c>
      <c r="D583" s="26" t="s">
        <v>2248</v>
      </c>
      <c r="E583" s="26" t="s">
        <v>6008</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6865</v>
      </c>
      <c r="B585" s="26" t="s">
        <v>5204</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5698</v>
      </c>
      <c r="G586" s="10"/>
      <c r="H586" s="10"/>
      <c r="I586" s="10"/>
      <c r="J586" s="10"/>
    </row>
    <row r="587" spans="1:10" x14ac:dyDescent="0.3">
      <c r="A587" s="26" t="s">
        <v>3136</v>
      </c>
      <c r="B587" s="26" t="s">
        <v>2119</v>
      </c>
      <c r="C587" s="26" t="s">
        <v>2115</v>
      </c>
      <c r="D587" s="26" t="s">
        <v>2139</v>
      </c>
      <c r="E587" s="26" t="s">
        <v>9711</v>
      </c>
    </row>
    <row r="588" spans="1:10" s="10" customFormat="1" x14ac:dyDescent="0.3">
      <c r="A588" s="10" t="s">
        <v>6876</v>
      </c>
      <c r="B588" s="10" t="s">
        <v>1661</v>
      </c>
      <c r="C588" s="10" t="s">
        <v>6035</v>
      </c>
      <c r="D588" s="34" t="s">
        <v>4857</v>
      </c>
      <c r="E588" s="34" t="s">
        <v>6614</v>
      </c>
      <c r="F588" s="34" t="s">
        <v>6483</v>
      </c>
      <c r="G588" s="34" t="s">
        <v>6075</v>
      </c>
    </row>
    <row r="589" spans="1:10" s="10" customFormat="1" x14ac:dyDescent="0.35">
      <c r="A589" s="26" t="s">
        <v>6880</v>
      </c>
      <c r="B589" s="26" t="s">
        <v>6067</v>
      </c>
      <c r="C589" s="27" t="s">
        <v>2156</v>
      </c>
      <c r="D589" s="27" t="s">
        <v>5951</v>
      </c>
      <c r="E589" s="26" t="s">
        <v>6368</v>
      </c>
      <c r="F589" s="24" t="s">
        <v>1368</v>
      </c>
      <c r="G589" s="26"/>
      <c r="H589" s="26"/>
      <c r="I589" s="26"/>
      <c r="J589" s="26"/>
    </row>
    <row r="590" spans="1:10" s="10" customFormat="1" x14ac:dyDescent="0.3">
      <c r="A590" s="10" t="s">
        <v>1060</v>
      </c>
      <c r="B590" s="20" t="s">
        <v>7594</v>
      </c>
      <c r="C590" s="10" t="s">
        <v>1029</v>
      </c>
      <c r="D590" s="10" t="s">
        <v>324</v>
      </c>
      <c r="E590" s="10" t="s">
        <v>3903</v>
      </c>
      <c r="F590" s="10" t="s">
        <v>670</v>
      </c>
    </row>
    <row r="591" spans="1:10" s="10" customFormat="1" x14ac:dyDescent="0.3">
      <c r="A591" s="10" t="s">
        <v>3188</v>
      </c>
      <c r="B591" s="34" t="s">
        <v>5701</v>
      </c>
      <c r="C591" s="34" t="s">
        <v>1029</v>
      </c>
      <c r="D591" s="10" t="s">
        <v>3831</v>
      </c>
      <c r="E591" s="10" t="s">
        <v>3176</v>
      </c>
      <c r="F591" s="10" t="s">
        <v>3180</v>
      </c>
      <c r="G591" s="10" t="s">
        <v>3192</v>
      </c>
    </row>
    <row r="592" spans="1:10" x14ac:dyDescent="0.3">
      <c r="A592" s="26" t="s">
        <v>3140</v>
      </c>
      <c r="B592" s="26" t="s">
        <v>3128</v>
      </c>
      <c r="C592" s="26" t="s">
        <v>7594</v>
      </c>
    </row>
    <row r="593" spans="1:10" x14ac:dyDescent="0.3">
      <c r="A593" s="26" t="s">
        <v>1331</v>
      </c>
      <c r="B593" s="26" t="s">
        <v>1169</v>
      </c>
      <c r="C593" s="26" t="s">
        <v>1303</v>
      </c>
      <c r="D593" s="26" t="s">
        <v>9613</v>
      </c>
    </row>
    <row r="594" spans="1:10" x14ac:dyDescent="0.3">
      <c r="A594" s="10" t="s">
        <v>6884</v>
      </c>
      <c r="B594" s="10" t="s">
        <v>6831</v>
      </c>
      <c r="C594" s="10" t="s">
        <v>73</v>
      </c>
      <c r="D594" s="10" t="s">
        <v>5935</v>
      </c>
      <c r="E594" s="10" t="s">
        <v>6491</v>
      </c>
      <c r="F594" s="10" t="s">
        <v>4808</v>
      </c>
      <c r="G594" s="10" t="s">
        <v>6712</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4711</v>
      </c>
      <c r="B596" s="34" t="s">
        <v>9410</v>
      </c>
      <c r="C596" s="10" t="s">
        <v>5912</v>
      </c>
      <c r="D596" s="34" t="s">
        <v>5520</v>
      </c>
      <c r="E596" s="10" t="s">
        <v>9451</v>
      </c>
      <c r="F596" s="10"/>
      <c r="G596" s="10"/>
      <c r="H596" s="10"/>
      <c r="I596" s="10"/>
      <c r="J596" s="10"/>
    </row>
    <row r="597" spans="1:10" x14ac:dyDescent="0.3">
      <c r="A597" s="10" t="s">
        <v>3308</v>
      </c>
      <c r="B597" s="10" t="s">
        <v>702</v>
      </c>
      <c r="C597" s="10" t="s">
        <v>791</v>
      </c>
      <c r="D597" s="10" t="s">
        <v>4387</v>
      </c>
      <c r="E597" s="10" t="s">
        <v>713</v>
      </c>
      <c r="F597" s="10" t="s">
        <v>6914</v>
      </c>
      <c r="G597" s="10" t="s">
        <v>249</v>
      </c>
      <c r="H597" s="10"/>
      <c r="I597" s="10"/>
      <c r="J597" s="10"/>
    </row>
    <row r="598" spans="1:10" s="10" customFormat="1" x14ac:dyDescent="0.35">
      <c r="A598" s="26" t="s">
        <v>991</v>
      </c>
      <c r="B598" s="26" t="s">
        <v>4956</v>
      </c>
      <c r="C598" s="24" t="s">
        <v>9516</v>
      </c>
      <c r="D598" s="24" t="s">
        <v>6023</v>
      </c>
      <c r="E598" s="26"/>
      <c r="F598" s="26"/>
      <c r="G598" s="26"/>
      <c r="H598" s="26"/>
      <c r="I598" s="26"/>
      <c r="J598" s="26"/>
    </row>
    <row r="599" spans="1:10" s="10" customFormat="1" x14ac:dyDescent="0.35">
      <c r="A599" s="26" t="s">
        <v>4715</v>
      </c>
      <c r="B599" s="26" t="s">
        <v>1736</v>
      </c>
      <c r="C599" s="27" t="s">
        <v>1758</v>
      </c>
      <c r="D599" s="26" t="s">
        <v>5008</v>
      </c>
      <c r="E599" s="26" t="s">
        <v>4531</v>
      </c>
      <c r="F599" s="27" t="s">
        <v>4357</v>
      </c>
      <c r="G599" s="27" t="s">
        <v>2721</v>
      </c>
      <c r="H599" s="26"/>
      <c r="I599" s="26"/>
      <c r="J599" s="26"/>
    </row>
    <row r="600" spans="1:10" x14ac:dyDescent="0.35">
      <c r="A600" s="26" t="s">
        <v>6047</v>
      </c>
      <c r="B600" s="27" t="s">
        <v>6216</v>
      </c>
      <c r="C600" s="26" t="s">
        <v>5282</v>
      </c>
      <c r="D600" s="27" t="s">
        <v>23</v>
      </c>
      <c r="E600" s="26" t="s">
        <v>7742</v>
      </c>
      <c r="F600" s="26" t="s">
        <v>2008</v>
      </c>
      <c r="G600" s="26" t="s">
        <v>1842</v>
      </c>
      <c r="H600" s="26" t="s">
        <v>3414</v>
      </c>
    </row>
    <row r="601" spans="1:10" x14ac:dyDescent="0.35">
      <c r="A601" s="26" t="s">
        <v>4719</v>
      </c>
      <c r="B601" s="27" t="s">
        <v>2846</v>
      </c>
      <c r="C601" s="27" t="s">
        <v>9520</v>
      </c>
      <c r="D601" s="27" t="s">
        <v>7198</v>
      </c>
      <c r="E601" s="26" t="s">
        <v>5983</v>
      </c>
      <c r="F601" s="26" t="s">
        <v>5208</v>
      </c>
      <c r="G601" s="26" t="s">
        <v>5726</v>
      </c>
    </row>
    <row r="602" spans="1:10" s="10" customFormat="1" x14ac:dyDescent="0.3">
      <c r="A602" s="26" t="s">
        <v>6055</v>
      </c>
      <c r="B602" s="26" t="s">
        <v>2871</v>
      </c>
      <c r="C602" s="26" t="s">
        <v>2846</v>
      </c>
      <c r="D602" s="26" t="s">
        <v>7614</v>
      </c>
      <c r="E602" s="26" t="s">
        <v>3020</v>
      </c>
      <c r="F602" s="26" t="s">
        <v>5726</v>
      </c>
      <c r="G602" s="26"/>
      <c r="H602" s="26"/>
      <c r="I602" s="26"/>
      <c r="J602" s="26"/>
    </row>
    <row r="603" spans="1:10" x14ac:dyDescent="0.35">
      <c r="A603" s="26" t="s">
        <v>6059</v>
      </c>
      <c r="B603" s="26" t="s">
        <v>4129</v>
      </c>
      <c r="C603" s="26" t="s">
        <v>6368</v>
      </c>
      <c r="D603" s="27" t="s">
        <v>2292</v>
      </c>
      <c r="E603" s="27" t="s">
        <v>5380</v>
      </c>
    </row>
    <row r="604" spans="1:10" s="10" customFormat="1" x14ac:dyDescent="0.3">
      <c r="A604" s="10" t="s">
        <v>3262</v>
      </c>
      <c r="B604" s="10" t="s">
        <v>6572</v>
      </c>
      <c r="C604" s="10" t="s">
        <v>2129</v>
      </c>
      <c r="D604" s="10" t="s">
        <v>3287</v>
      </c>
      <c r="E604" s="10" t="s">
        <v>3257</v>
      </c>
      <c r="F604" s="10" t="s">
        <v>1568</v>
      </c>
      <c r="G604" s="10" t="s">
        <v>3270</v>
      </c>
      <c r="H604" s="34" t="s">
        <v>2390</v>
      </c>
    </row>
    <row r="605" spans="1:10" x14ac:dyDescent="0.3">
      <c r="A605" s="10" t="s">
        <v>6067</v>
      </c>
      <c r="B605" s="10" t="s">
        <v>9410</v>
      </c>
      <c r="C605" s="10" t="s">
        <v>2439</v>
      </c>
      <c r="D605" s="10" t="s">
        <v>3865</v>
      </c>
      <c r="E605" s="10" t="s">
        <v>6404</v>
      </c>
      <c r="F605" s="10" t="s">
        <v>5713</v>
      </c>
      <c r="G605" s="10" t="s">
        <v>6824</v>
      </c>
      <c r="H605" s="10" t="s">
        <v>5912</v>
      </c>
      <c r="I605" s="10"/>
      <c r="J605" s="10"/>
    </row>
    <row r="606" spans="1:10" x14ac:dyDescent="0.35">
      <c r="A606" s="26" t="s">
        <v>1931</v>
      </c>
      <c r="B606" s="26" t="s">
        <v>1935</v>
      </c>
      <c r="C606" s="27" t="s">
        <v>7649</v>
      </c>
      <c r="D606" s="27" t="s">
        <v>7432</v>
      </c>
      <c r="E606" s="26" t="s">
        <v>9473</v>
      </c>
      <c r="F606" s="26" t="s">
        <v>2804</v>
      </c>
    </row>
    <row r="607" spans="1:10" x14ac:dyDescent="0.35">
      <c r="A607" s="26" t="s">
        <v>6075</v>
      </c>
      <c r="B607" s="27" t="s">
        <v>4857</v>
      </c>
      <c r="C607" s="26" t="s">
        <v>4493</v>
      </c>
      <c r="D607" s="26" t="s">
        <v>6035</v>
      </c>
      <c r="E607" s="26" t="s">
        <v>5482</v>
      </c>
      <c r="F607" s="26" t="s">
        <v>4693</v>
      </c>
    </row>
    <row r="608" spans="1:10" x14ac:dyDescent="0.3">
      <c r="A608" s="10" t="s">
        <v>2094</v>
      </c>
      <c r="B608" s="10" t="s">
        <v>4936</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6083</v>
      </c>
      <c r="B610" s="26" t="s">
        <v>2846</v>
      </c>
      <c r="C610" s="26" t="s">
        <v>1490</v>
      </c>
    </row>
    <row r="611" spans="1:10" x14ac:dyDescent="0.35">
      <c r="A611" s="26" t="s">
        <v>4727</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6444</v>
      </c>
      <c r="I612" s="26" t="s">
        <v>6772</v>
      </c>
      <c r="J612" s="26" t="s">
        <v>6222</v>
      </c>
    </row>
    <row r="613" spans="1:10" x14ac:dyDescent="0.3">
      <c r="A613" s="26" t="s">
        <v>4733</v>
      </c>
      <c r="B613" s="26" t="s">
        <v>5990</v>
      </c>
      <c r="C613" s="26" t="s">
        <v>4738</v>
      </c>
      <c r="D613" s="26" t="s">
        <v>4664</v>
      </c>
      <c r="E613" s="26" t="s">
        <v>5978</v>
      </c>
      <c r="F613" s="26" t="s">
        <v>6091</v>
      </c>
    </row>
    <row r="614" spans="1:10" x14ac:dyDescent="0.35">
      <c r="A614" s="26" t="s">
        <v>4738</v>
      </c>
      <c r="B614" s="27" t="s">
        <v>5990</v>
      </c>
      <c r="C614" s="27" t="s">
        <v>4733</v>
      </c>
      <c r="D614" s="26" t="s">
        <v>6210</v>
      </c>
    </row>
    <row r="615" spans="1:10" s="10" customFormat="1" x14ac:dyDescent="0.35">
      <c r="A615" s="26" t="s">
        <v>626</v>
      </c>
      <c r="B615" s="26" t="s">
        <v>6067</v>
      </c>
      <c r="C615" s="26" t="s">
        <v>847</v>
      </c>
      <c r="D615" s="27" t="s">
        <v>839</v>
      </c>
      <c r="E615" s="27" t="s">
        <v>843</v>
      </c>
      <c r="F615" s="27" t="s">
        <v>851</v>
      </c>
      <c r="G615" s="27" t="s">
        <v>855</v>
      </c>
      <c r="H615" s="27" t="s">
        <v>859</v>
      </c>
      <c r="I615" s="26" t="s">
        <v>4065</v>
      </c>
      <c r="J615" s="26" t="s">
        <v>6289</v>
      </c>
    </row>
    <row r="616" spans="1:10" x14ac:dyDescent="0.3">
      <c r="A616" s="26" t="s">
        <v>6096</v>
      </c>
      <c r="B616" s="26" t="s">
        <v>2871</v>
      </c>
      <c r="C616" s="26" t="s">
        <v>1490</v>
      </c>
      <c r="D616" s="26" t="s">
        <v>2862</v>
      </c>
      <c r="E616" s="26" t="s">
        <v>2076</v>
      </c>
      <c r="F616" s="26" t="s">
        <v>6922</v>
      </c>
    </row>
    <row r="617" spans="1:10" s="10" customFormat="1" x14ac:dyDescent="0.3">
      <c r="A617" s="10" t="s">
        <v>1157</v>
      </c>
      <c r="B617" s="10" t="s">
        <v>4387</v>
      </c>
      <c r="C617" s="10" t="s">
        <v>1340</v>
      </c>
      <c r="D617" s="34" t="s">
        <v>1598</v>
      </c>
      <c r="E617" s="10" t="s">
        <v>1678</v>
      </c>
      <c r="F617" s="34" t="s">
        <v>10035</v>
      </c>
      <c r="G617" s="10" t="s">
        <v>6914</v>
      </c>
    </row>
    <row r="618" spans="1:10" x14ac:dyDescent="0.3">
      <c r="A618" s="26" t="s">
        <v>4741</v>
      </c>
      <c r="B618" s="26" t="s">
        <v>3504</v>
      </c>
      <c r="C618" s="26" t="s">
        <v>2384</v>
      </c>
      <c r="D618" s="26" t="s">
        <v>876</v>
      </c>
      <c r="E618" s="26" t="s">
        <v>2156</v>
      </c>
      <c r="F618" s="26" t="s">
        <v>968</v>
      </c>
    </row>
    <row r="619" spans="1:10" x14ac:dyDescent="0.35">
      <c r="A619" s="26" t="s">
        <v>4745</v>
      </c>
      <c r="B619" s="27" t="s">
        <v>2129</v>
      </c>
      <c r="C619" s="26" t="s">
        <v>1169</v>
      </c>
      <c r="D619" s="26" t="s">
        <v>1935</v>
      </c>
    </row>
    <row r="620" spans="1:10" x14ac:dyDescent="0.3">
      <c r="A620" s="10" t="s">
        <v>6104</v>
      </c>
      <c r="B620" s="10" t="s">
        <v>7597</v>
      </c>
      <c r="C620" s="10" t="s">
        <v>82</v>
      </c>
      <c r="D620" s="10"/>
      <c r="E620" s="10"/>
      <c r="F620" s="10"/>
      <c r="G620" s="10"/>
      <c r="H620" s="10"/>
      <c r="I620" s="10"/>
      <c r="J620" s="10"/>
    </row>
    <row r="621" spans="1:10" x14ac:dyDescent="0.3">
      <c r="A621" s="26" t="s">
        <v>6112</v>
      </c>
      <c r="B621" s="26" t="s">
        <v>69</v>
      </c>
      <c r="C621" s="26" t="s">
        <v>1622</v>
      </c>
      <c r="D621" s="26" t="s">
        <v>5893</v>
      </c>
      <c r="E621" s="26" t="s">
        <v>5603</v>
      </c>
      <c r="F621" s="26" t="s">
        <v>1627</v>
      </c>
      <c r="G621" s="26" t="s">
        <v>1608</v>
      </c>
      <c r="H621" s="26" t="s">
        <v>7170</v>
      </c>
      <c r="I621" s="26" t="s">
        <v>1037</v>
      </c>
      <c r="J621" s="26" t="s">
        <v>6719</v>
      </c>
    </row>
    <row r="622" spans="1:10" x14ac:dyDescent="0.3">
      <c r="A622" s="10" t="s">
        <v>3109</v>
      </c>
      <c r="B622" s="10" t="s">
        <v>7594</v>
      </c>
      <c r="C622" s="10" t="s">
        <v>1842</v>
      </c>
      <c r="D622" s="10"/>
      <c r="E622" s="10"/>
      <c r="F622" s="10"/>
      <c r="G622" s="10"/>
      <c r="H622" s="10"/>
      <c r="I622" s="10"/>
      <c r="J622" s="10"/>
    </row>
    <row r="623" spans="1:10" s="10" customFormat="1" x14ac:dyDescent="0.3">
      <c r="A623" s="26" t="s">
        <v>1903</v>
      </c>
      <c r="B623" s="26" t="s">
        <v>1842</v>
      </c>
      <c r="C623" s="26" t="s">
        <v>2636</v>
      </c>
      <c r="D623" s="26" t="s">
        <v>6027</v>
      </c>
      <c r="E623" s="26" t="s">
        <v>5885</v>
      </c>
      <c r="F623" s="26" t="s">
        <v>6914</v>
      </c>
      <c r="G623" s="26" t="s">
        <v>3548</v>
      </c>
      <c r="H623" s="26"/>
      <c r="I623" s="26"/>
      <c r="J623" s="26"/>
    </row>
    <row r="624" spans="1:10" x14ac:dyDescent="0.35">
      <c r="A624" s="26" t="s">
        <v>4751</v>
      </c>
      <c r="B624" s="26" t="s">
        <v>1711</v>
      </c>
      <c r="C624" s="26" t="s">
        <v>5566</v>
      </c>
      <c r="D624" s="26" t="s">
        <v>4559</v>
      </c>
      <c r="E624" s="26" t="s">
        <v>7046</v>
      </c>
      <c r="F624" s="24" t="s">
        <v>2407</v>
      </c>
      <c r="G624" s="24" t="s">
        <v>9469</v>
      </c>
    </row>
    <row r="625" spans="1:10" x14ac:dyDescent="0.35">
      <c r="A625" s="26" t="s">
        <v>2264</v>
      </c>
      <c r="B625" s="26" t="s">
        <v>458</v>
      </c>
      <c r="C625" s="26" t="s">
        <v>4757</v>
      </c>
      <c r="D625" s="26" t="s">
        <v>6412</v>
      </c>
      <c r="E625" s="26" t="s">
        <v>3369</v>
      </c>
      <c r="F625" s="26" t="s">
        <v>2321</v>
      </c>
      <c r="G625" s="26" t="s">
        <v>6134</v>
      </c>
      <c r="H625" s="27" t="s">
        <v>6322</v>
      </c>
      <c r="I625" s="26" t="s">
        <v>6606</v>
      </c>
    </row>
    <row r="626" spans="1:10" s="10" customFormat="1" x14ac:dyDescent="0.3">
      <c r="A626" s="26" t="s">
        <v>4757</v>
      </c>
      <c r="B626" s="26" t="s">
        <v>3369</v>
      </c>
      <c r="C626" s="26" t="s">
        <v>2321</v>
      </c>
      <c r="D626" s="26" t="s">
        <v>2264</v>
      </c>
      <c r="E626" s="26" t="s">
        <v>6134</v>
      </c>
      <c r="F626" s="26" t="s">
        <v>6322</v>
      </c>
      <c r="G626" s="26" t="s">
        <v>6606</v>
      </c>
      <c r="H626" s="26" t="s">
        <v>6412</v>
      </c>
      <c r="I626" s="26"/>
      <c r="J626" s="26"/>
    </row>
    <row r="627" spans="1:10" x14ac:dyDescent="0.3">
      <c r="A627" s="26" t="s">
        <v>4765</v>
      </c>
      <c r="B627" s="26" t="s">
        <v>1029</v>
      </c>
      <c r="C627" s="26" t="s">
        <v>3116</v>
      </c>
      <c r="D627" s="26" t="s">
        <v>6781</v>
      </c>
      <c r="E627" s="26" t="s">
        <v>7026</v>
      </c>
      <c r="F627" s="26" t="s">
        <v>7160</v>
      </c>
    </row>
    <row r="628" spans="1:10" s="10" customFormat="1" x14ac:dyDescent="0.3">
      <c r="A628" s="10" t="s">
        <v>470</v>
      </c>
      <c r="B628" s="10" t="s">
        <v>473</v>
      </c>
      <c r="C628" s="10" t="s">
        <v>499</v>
      </c>
      <c r="D628" s="34" t="s">
        <v>490</v>
      </c>
      <c r="E628" s="10" t="s">
        <v>29</v>
      </c>
    </row>
    <row r="629" spans="1:10" s="10" customFormat="1" x14ac:dyDescent="0.35">
      <c r="A629" s="26" t="s">
        <v>4770</v>
      </c>
      <c r="B629" s="26" t="s">
        <v>9528</v>
      </c>
      <c r="C629" s="27" t="s">
        <v>4420</v>
      </c>
      <c r="D629" s="26" t="s">
        <v>968</v>
      </c>
      <c r="E629" s="26" t="s">
        <v>5983</v>
      </c>
      <c r="F629" s="26" t="s">
        <v>904</v>
      </c>
      <c r="G629" s="26" t="s">
        <v>908</v>
      </c>
      <c r="H629" s="26" t="s">
        <v>912</v>
      </c>
      <c r="I629" s="26"/>
      <c r="J629" s="26"/>
    </row>
    <row r="630" spans="1:10" x14ac:dyDescent="0.35">
      <c r="A630" s="26" t="s">
        <v>6116</v>
      </c>
      <c r="B630" s="26" t="s">
        <v>6067</v>
      </c>
      <c r="C630" s="27" t="s">
        <v>2607</v>
      </c>
      <c r="D630" s="26" t="s">
        <v>7614</v>
      </c>
      <c r="E630" s="26" t="s">
        <v>2846</v>
      </c>
      <c r="F630" s="26" t="s">
        <v>2169</v>
      </c>
    </row>
    <row r="631" spans="1:10" x14ac:dyDescent="0.3">
      <c r="A631" s="19" t="s">
        <v>458</v>
      </c>
      <c r="B631" s="10" t="s">
        <v>535</v>
      </c>
      <c r="C631" s="10" t="s">
        <v>544</v>
      </c>
      <c r="D631" s="10" t="s">
        <v>5829</v>
      </c>
      <c r="E631" s="10" t="s">
        <v>490</v>
      </c>
      <c r="F631" s="10" t="s">
        <v>481</v>
      </c>
      <c r="G631" s="10"/>
      <c r="H631" s="10"/>
      <c r="I631" s="10"/>
      <c r="J631" s="10"/>
    </row>
    <row r="632" spans="1:10" x14ac:dyDescent="0.3">
      <c r="A632" s="26" t="s">
        <v>4777</v>
      </c>
      <c r="B632" s="26" t="s">
        <v>415</v>
      </c>
      <c r="C632" s="26" t="s">
        <v>7030</v>
      </c>
      <c r="D632" s="26" t="s">
        <v>3596</v>
      </c>
      <c r="E632" s="26" t="s">
        <v>7385</v>
      </c>
    </row>
    <row r="633" spans="1:10" x14ac:dyDescent="0.3">
      <c r="A633" s="19" t="s">
        <v>7033</v>
      </c>
      <c r="B633" s="10" t="s">
        <v>4956</v>
      </c>
      <c r="C633" s="10" t="s">
        <v>3532</v>
      </c>
      <c r="D633" s="10" t="s">
        <v>3500</v>
      </c>
      <c r="E633" s="10" t="s">
        <v>7381</v>
      </c>
      <c r="F633" s="10"/>
      <c r="G633" s="10"/>
      <c r="H633" s="10"/>
      <c r="I633" s="10"/>
      <c r="J633" s="10"/>
    </row>
    <row r="634" spans="1:10" x14ac:dyDescent="0.3">
      <c r="A634" s="10" t="s">
        <v>1697</v>
      </c>
      <c r="B634" s="34" t="s">
        <v>5726</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7600</v>
      </c>
      <c r="G635" s="26" t="s">
        <v>1617</v>
      </c>
      <c r="H635" s="26" t="s">
        <v>2893</v>
      </c>
      <c r="I635" s="26"/>
      <c r="J635" s="26"/>
    </row>
    <row r="636" spans="1:10" s="10" customFormat="1" x14ac:dyDescent="0.35">
      <c r="A636" s="26" t="s">
        <v>4784</v>
      </c>
      <c r="B636" s="26" t="s">
        <v>5951</v>
      </c>
      <c r="C636" s="26" t="s">
        <v>5655</v>
      </c>
      <c r="D636" s="27" t="s">
        <v>6123</v>
      </c>
      <c r="E636" s="26" t="s">
        <v>2156</v>
      </c>
      <c r="F636" s="26" t="s">
        <v>6368</v>
      </c>
      <c r="G636" s="26" t="s">
        <v>5147</v>
      </c>
      <c r="H636" s="26"/>
      <c r="I636" s="26"/>
      <c r="J636" s="26"/>
    </row>
    <row r="637" spans="1:10" x14ac:dyDescent="0.35">
      <c r="A637" s="26" t="s">
        <v>6123</v>
      </c>
      <c r="B637" s="26" t="s">
        <v>4784</v>
      </c>
      <c r="C637" s="27" t="s">
        <v>5951</v>
      </c>
      <c r="D637" s="26" t="s">
        <v>5655</v>
      </c>
      <c r="E637" s="26" t="s">
        <v>6368</v>
      </c>
      <c r="F637" s="26" t="s">
        <v>5147</v>
      </c>
    </row>
    <row r="638" spans="1:10" x14ac:dyDescent="0.35">
      <c r="A638" s="26" t="s">
        <v>4792</v>
      </c>
      <c r="B638" s="24" t="s">
        <v>6789</v>
      </c>
      <c r="C638" s="24" t="s">
        <v>7505</v>
      </c>
      <c r="D638" s="26" t="s">
        <v>458</v>
      </c>
      <c r="E638" s="26" t="s">
        <v>69</v>
      </c>
      <c r="F638" s="26" t="s">
        <v>2333</v>
      </c>
    </row>
    <row r="639" spans="1:10" x14ac:dyDescent="0.3">
      <c r="A639" s="26" t="s">
        <v>1946</v>
      </c>
      <c r="B639" s="26" t="s">
        <v>6008</v>
      </c>
      <c r="C639" s="26" t="s">
        <v>622</v>
      </c>
      <c r="D639" s="26" t="s">
        <v>4302</v>
      </c>
      <c r="E639" s="26" t="s">
        <v>4065</v>
      </c>
      <c r="F639" s="26" t="s">
        <v>670</v>
      </c>
      <c r="G639" s="26" t="s">
        <v>3903</v>
      </c>
      <c r="H639" s="26" t="s">
        <v>7709</v>
      </c>
    </row>
    <row r="640" spans="1:10" x14ac:dyDescent="0.3">
      <c r="A640" s="10" t="s">
        <v>2139</v>
      </c>
      <c r="B640" s="10" t="s">
        <v>7594</v>
      </c>
      <c r="C640" s="10" t="s">
        <v>2129</v>
      </c>
      <c r="D640" s="10" t="s">
        <v>6922</v>
      </c>
      <c r="E640" s="10" t="s">
        <v>3705</v>
      </c>
      <c r="F640" s="10" t="s">
        <v>3257</v>
      </c>
      <c r="G640" s="10" t="s">
        <v>1568</v>
      </c>
      <c r="H640" s="10" t="s">
        <v>6373</v>
      </c>
      <c r="I640" s="10" t="s">
        <v>9717</v>
      </c>
      <c r="J640" s="10" t="s">
        <v>10096</v>
      </c>
    </row>
    <row r="641" spans="1:10" x14ac:dyDescent="0.3">
      <c r="A641" s="19" t="s">
        <v>4800</v>
      </c>
      <c r="B641" s="10" t="s">
        <v>5028</v>
      </c>
      <c r="C641" s="34" t="s">
        <v>2433</v>
      </c>
      <c r="D641" s="10"/>
      <c r="E641" s="10"/>
      <c r="F641" s="10"/>
      <c r="G641" s="10"/>
      <c r="H641" s="10"/>
      <c r="I641" s="10"/>
      <c r="J641" s="10"/>
    </row>
    <row r="642" spans="1:10" x14ac:dyDescent="0.35">
      <c r="A642" s="26" t="s">
        <v>6127</v>
      </c>
      <c r="B642" s="27" t="s">
        <v>2008</v>
      </c>
      <c r="C642" s="27" t="s">
        <v>2357</v>
      </c>
      <c r="D642" s="27" t="s">
        <v>2361</v>
      </c>
      <c r="E642" s="27" t="s">
        <v>1051</v>
      </c>
      <c r="F642" s="27" t="s">
        <v>7039</v>
      </c>
      <c r="G642" s="26" t="s">
        <v>5843</v>
      </c>
      <c r="H642" s="26" t="s">
        <v>4004</v>
      </c>
      <c r="I642" s="26" t="s">
        <v>242</v>
      </c>
    </row>
    <row r="643" spans="1:10" x14ac:dyDescent="0.3">
      <c r="A643" s="26" t="s">
        <v>4808</v>
      </c>
      <c r="B643" s="26" t="s">
        <v>6884</v>
      </c>
      <c r="C643" s="26" t="s">
        <v>5466</v>
      </c>
      <c r="D643" s="26" t="s">
        <v>5194</v>
      </c>
    </row>
    <row r="644" spans="1:10" x14ac:dyDescent="0.3">
      <c r="A644" s="26" t="s">
        <v>6134</v>
      </c>
      <c r="B644" s="26" t="s">
        <v>4757</v>
      </c>
      <c r="C644" s="26" t="s">
        <v>2264</v>
      </c>
      <c r="D644" s="26" t="s">
        <v>2321</v>
      </c>
      <c r="E644" s="26" t="s">
        <v>6412</v>
      </c>
      <c r="F644" s="26" t="s">
        <v>3369</v>
      </c>
      <c r="G644" s="26" t="s">
        <v>6606</v>
      </c>
    </row>
    <row r="645" spans="1:10" s="10" customFormat="1" x14ac:dyDescent="0.3">
      <c r="A645" s="26" t="s">
        <v>7039</v>
      </c>
      <c r="B645" s="26" t="s">
        <v>5843</v>
      </c>
      <c r="C645" s="26" t="s">
        <v>6127</v>
      </c>
      <c r="D645" s="26" t="s">
        <v>4004</v>
      </c>
      <c r="E645" s="26" t="s">
        <v>1069</v>
      </c>
      <c r="F645" s="26" t="s">
        <v>1051</v>
      </c>
      <c r="G645" s="26"/>
      <c r="H645" s="26"/>
      <c r="I645" s="26"/>
      <c r="J645" s="26"/>
    </row>
    <row r="646" spans="1:10" x14ac:dyDescent="0.3">
      <c r="A646" s="26" t="s">
        <v>6142</v>
      </c>
      <c r="B646" s="26" t="s">
        <v>6252</v>
      </c>
      <c r="C646" s="26" t="s">
        <v>69</v>
      </c>
      <c r="D646" s="26" t="s">
        <v>410</v>
      </c>
      <c r="E646" s="26" t="s">
        <v>3308</v>
      </c>
      <c r="F646" s="26" t="s">
        <v>3327</v>
      </c>
    </row>
    <row r="647" spans="1:10" s="10" customFormat="1" x14ac:dyDescent="0.35">
      <c r="A647" s="26" t="s">
        <v>4816</v>
      </c>
      <c r="B647" s="27" t="s">
        <v>3109</v>
      </c>
      <c r="C647" s="27" t="s">
        <v>6548</v>
      </c>
      <c r="D647" s="27" t="s">
        <v>2292</v>
      </c>
      <c r="E647" s="27" t="s">
        <v>4523</v>
      </c>
      <c r="F647" s="26" t="s">
        <v>7515</v>
      </c>
      <c r="G647" s="26" t="s">
        <v>1927</v>
      </c>
      <c r="H647" s="26" t="s">
        <v>5251</v>
      </c>
      <c r="I647" s="26"/>
      <c r="J647" s="26"/>
    </row>
    <row r="648" spans="1:10" x14ac:dyDescent="0.35">
      <c r="A648" s="26" t="s">
        <v>4824</v>
      </c>
      <c r="B648" s="27" t="s">
        <v>1209</v>
      </c>
      <c r="C648" s="27" t="s">
        <v>1678</v>
      </c>
      <c r="D648" s="26" t="s">
        <v>6950</v>
      </c>
      <c r="E648" s="26" t="s">
        <v>6731</v>
      </c>
    </row>
    <row r="649" spans="1:10" x14ac:dyDescent="0.3">
      <c r="A649" s="26" t="s">
        <v>4832</v>
      </c>
      <c r="B649" s="26" t="s">
        <v>4751</v>
      </c>
      <c r="C649" s="26" t="s">
        <v>1711</v>
      </c>
    </row>
    <row r="650" spans="1:10" x14ac:dyDescent="0.3">
      <c r="A650" s="10" t="s">
        <v>4837</v>
      </c>
      <c r="B650" s="10" t="s">
        <v>82</v>
      </c>
      <c r="C650" s="10" t="s">
        <v>2094</v>
      </c>
      <c r="D650" s="10" t="s">
        <v>4433</v>
      </c>
      <c r="E650" s="10" t="s">
        <v>4936</v>
      </c>
      <c r="F650" s="10"/>
      <c r="G650" s="10"/>
      <c r="H650" s="10"/>
      <c r="I650" s="10"/>
      <c r="J650" s="10"/>
    </row>
    <row r="651" spans="1:10" s="10" customFormat="1" x14ac:dyDescent="0.3">
      <c r="A651" s="26" t="s">
        <v>6150</v>
      </c>
      <c r="B651" s="26" t="s">
        <v>34</v>
      </c>
      <c r="C651" s="26" t="s">
        <v>5292</v>
      </c>
      <c r="D651" s="26" t="s">
        <v>6373</v>
      </c>
      <c r="E651" s="26" t="s">
        <v>6160</v>
      </c>
      <c r="F651" s="26" t="s">
        <v>7639</v>
      </c>
      <c r="G651" s="26"/>
      <c r="H651" s="26"/>
      <c r="I651" s="26"/>
      <c r="J651" s="26"/>
    </row>
    <row r="652" spans="1:10" x14ac:dyDescent="0.3">
      <c r="A652" s="10" t="s">
        <v>4841</v>
      </c>
      <c r="B652" s="10" t="s">
        <v>1617</v>
      </c>
      <c r="C652" s="34" t="s">
        <v>6296</v>
      </c>
      <c r="D652" s="34" t="s">
        <v>1669</v>
      </c>
      <c r="E652" s="10" t="s">
        <v>6731</v>
      </c>
      <c r="F652" s="10" t="s">
        <v>6950</v>
      </c>
      <c r="G652" s="10" t="s">
        <v>5847</v>
      </c>
      <c r="H652" s="10"/>
      <c r="I652" s="10"/>
      <c r="J652" s="10"/>
    </row>
    <row r="653" spans="1:10" s="10" customFormat="1" x14ac:dyDescent="0.3">
      <c r="A653" s="26" t="s">
        <v>6156</v>
      </c>
      <c r="B653" s="26" t="s">
        <v>3450</v>
      </c>
      <c r="C653" s="26" t="s">
        <v>1736</v>
      </c>
      <c r="D653" s="26" t="s">
        <v>9614</v>
      </c>
      <c r="E653" s="26" t="s">
        <v>1758</v>
      </c>
      <c r="F653" s="26" t="s">
        <v>7231</v>
      </c>
      <c r="G653" s="26"/>
      <c r="H653" s="26"/>
      <c r="I653" s="26"/>
      <c r="J653" s="26"/>
    </row>
    <row r="654" spans="1:10" s="10" customFormat="1" x14ac:dyDescent="0.35">
      <c r="A654" s="26" t="s">
        <v>6160</v>
      </c>
      <c r="B654" s="26" t="s">
        <v>6373</v>
      </c>
      <c r="C654" s="27" t="s">
        <v>5429</v>
      </c>
      <c r="D654" s="26" t="s">
        <v>7639</v>
      </c>
      <c r="E654" s="26"/>
      <c r="F654" s="26"/>
      <c r="G654" s="26"/>
      <c r="H654" s="26"/>
      <c r="I654" s="26"/>
      <c r="J654" s="26"/>
    </row>
    <row r="655" spans="1:10" x14ac:dyDescent="0.3">
      <c r="A655" s="26" t="s">
        <v>4849</v>
      </c>
      <c r="B655" s="26" t="s">
        <v>1669</v>
      </c>
      <c r="C655" s="26" t="s">
        <v>1656</v>
      </c>
      <c r="D655" s="26" t="s">
        <v>1639</v>
      </c>
    </row>
    <row r="656" spans="1:10" x14ac:dyDescent="0.3">
      <c r="A656" s="10" t="s">
        <v>2811</v>
      </c>
      <c r="B656" s="10" t="s">
        <v>1648</v>
      </c>
      <c r="C656" s="34" t="s">
        <v>2804</v>
      </c>
      <c r="D656" s="34" t="s">
        <v>4972</v>
      </c>
      <c r="E656" s="10" t="s">
        <v>7422</v>
      </c>
      <c r="F656" s="10" t="s">
        <v>2820</v>
      </c>
      <c r="G656" s="10" t="s">
        <v>2008</v>
      </c>
      <c r="H656" s="10" t="s">
        <v>2044</v>
      </c>
      <c r="I656" s="10" t="s">
        <v>2051</v>
      </c>
      <c r="J656" s="10"/>
    </row>
    <row r="657" spans="1:10" s="10" customFormat="1" x14ac:dyDescent="0.35">
      <c r="A657" s="26" t="s">
        <v>6168</v>
      </c>
      <c r="B657" s="26" t="s">
        <v>4645</v>
      </c>
      <c r="C657" s="26" t="s">
        <v>6322</v>
      </c>
      <c r="D657" s="24" t="s">
        <v>9472</v>
      </c>
      <c r="E657" s="24" t="s">
        <v>2325</v>
      </c>
      <c r="F657" s="24" t="s">
        <v>2797</v>
      </c>
      <c r="G657" s="24" t="s">
        <v>2957</v>
      </c>
      <c r="H657" s="24" t="s">
        <v>2993</v>
      </c>
      <c r="I657" s="26"/>
      <c r="J657" s="26"/>
    </row>
    <row r="658" spans="1:10" x14ac:dyDescent="0.3">
      <c r="A658" s="10" t="s">
        <v>6172</v>
      </c>
      <c r="B658" s="34" t="s">
        <v>702</v>
      </c>
      <c r="C658" s="10" t="s">
        <v>6216</v>
      </c>
      <c r="D658" s="10" t="s">
        <v>6914</v>
      </c>
      <c r="E658" s="10"/>
      <c r="F658" s="10"/>
      <c r="G658" s="10"/>
      <c r="H658" s="10"/>
      <c r="I658" s="10"/>
      <c r="J658" s="10"/>
    </row>
    <row r="659" spans="1:10" x14ac:dyDescent="0.3">
      <c r="A659" s="10" t="s">
        <v>4857</v>
      </c>
      <c r="B659" s="10" t="s">
        <v>1661</v>
      </c>
      <c r="C659" s="10" t="s">
        <v>6035</v>
      </c>
      <c r="D659" s="10" t="s">
        <v>5905</v>
      </c>
      <c r="E659" s="10" t="s">
        <v>2569</v>
      </c>
      <c r="F659" s="10" t="s">
        <v>6075</v>
      </c>
      <c r="G659" s="10"/>
      <c r="H659" s="10"/>
      <c r="I659" s="10"/>
      <c r="J659" s="10"/>
    </row>
    <row r="660" spans="1:10" x14ac:dyDescent="0.35">
      <c r="A660" s="26" t="s">
        <v>4865</v>
      </c>
      <c r="B660" s="26" t="s">
        <v>6857</v>
      </c>
      <c r="C660" s="26" t="s">
        <v>7649</v>
      </c>
      <c r="D660" s="27" t="s">
        <v>7432</v>
      </c>
    </row>
    <row r="661" spans="1:10" s="10" customFormat="1" x14ac:dyDescent="0.35">
      <c r="A661" s="26" t="s">
        <v>9710</v>
      </c>
      <c r="B661" s="24" t="s">
        <v>7096</v>
      </c>
      <c r="C661" s="26" t="s">
        <v>3603</v>
      </c>
      <c r="D661" s="26" t="s">
        <v>6692</v>
      </c>
      <c r="E661" s="26" t="s">
        <v>5768</v>
      </c>
      <c r="F661" s="26" t="s">
        <v>3767</v>
      </c>
      <c r="G661" s="26"/>
      <c r="H661" s="26"/>
      <c r="I661" s="26"/>
      <c r="J661" s="26"/>
    </row>
    <row r="662" spans="1:10" s="10" customFormat="1" x14ac:dyDescent="0.3">
      <c r="A662" s="10" t="s">
        <v>4873</v>
      </c>
      <c r="B662" s="10" t="s">
        <v>6572</v>
      </c>
      <c r="C662" s="10" t="s">
        <v>3262</v>
      </c>
      <c r="D662" s="10" t="s">
        <v>3287</v>
      </c>
      <c r="E662" s="10" t="s">
        <v>2119</v>
      </c>
    </row>
    <row r="663" spans="1:10" x14ac:dyDescent="0.3">
      <c r="A663" s="26" t="s">
        <v>6175</v>
      </c>
      <c r="B663" s="26" t="s">
        <v>1032</v>
      </c>
      <c r="C663" s="26" t="s">
        <v>3109</v>
      </c>
      <c r="D663" s="26" t="s">
        <v>1169</v>
      </c>
      <c r="E663" s="26" t="s">
        <v>1216</v>
      </c>
      <c r="F663" s="26" t="s">
        <v>1212</v>
      </c>
      <c r="G663" s="26" t="s">
        <v>1229</v>
      </c>
      <c r="H663" s="26" t="s">
        <v>6134</v>
      </c>
      <c r="I663" s="26" t="s">
        <v>1175</v>
      </c>
    </row>
    <row r="664" spans="1:10" s="10" customFormat="1" x14ac:dyDescent="0.3">
      <c r="A664" s="26" t="s">
        <v>6182</v>
      </c>
      <c r="B664" s="26" t="s">
        <v>5876</v>
      </c>
      <c r="C664" s="26" t="s">
        <v>5663</v>
      </c>
      <c r="D664" s="26" t="s">
        <v>3658</v>
      </c>
      <c r="E664" s="26" t="s">
        <v>5087</v>
      </c>
      <c r="F664" s="26" t="s">
        <v>6487</v>
      </c>
      <c r="G664" s="26"/>
      <c r="H664" s="26"/>
      <c r="I664" s="26"/>
      <c r="J664" s="26"/>
    </row>
    <row r="665" spans="1:10" s="10" customFormat="1" x14ac:dyDescent="0.3">
      <c r="A665" s="26" t="s">
        <v>2633</v>
      </c>
      <c r="B665" s="26" t="s">
        <v>5251</v>
      </c>
      <c r="C665" s="26" t="s">
        <v>5713</v>
      </c>
      <c r="D665" s="26" t="s">
        <v>6404</v>
      </c>
      <c r="E665" s="26" t="s">
        <v>5667</v>
      </c>
      <c r="F665" s="26"/>
      <c r="G665" s="26"/>
      <c r="H665" s="26"/>
      <c r="I665" s="26"/>
      <c r="J665" s="26"/>
    </row>
    <row r="666" spans="1:10" x14ac:dyDescent="0.3">
      <c r="A666" s="10" t="s">
        <v>1853</v>
      </c>
      <c r="B666" s="10" t="s">
        <v>1842</v>
      </c>
      <c r="C666" s="10" t="s">
        <v>1335</v>
      </c>
      <c r="D666" s="10" t="s">
        <v>2820</v>
      </c>
      <c r="E666" s="10" t="s">
        <v>6914</v>
      </c>
      <c r="F666" s="10"/>
      <c r="G666" s="10"/>
      <c r="H666" s="10"/>
      <c r="I666" s="10"/>
      <c r="J666" s="10"/>
    </row>
    <row r="667" spans="1:10" x14ac:dyDescent="0.3">
      <c r="A667" s="10" t="s">
        <v>1274</v>
      </c>
      <c r="B667" s="10" t="s">
        <v>1169</v>
      </c>
      <c r="C667" s="10" t="s">
        <v>1678</v>
      </c>
      <c r="D667" s="10" t="s">
        <v>6950</v>
      </c>
      <c r="E667" s="34" t="s">
        <v>2715</v>
      </c>
      <c r="F667" s="34" t="s">
        <v>2718</v>
      </c>
      <c r="G667" s="10"/>
      <c r="H667" s="10"/>
      <c r="I667" s="10"/>
      <c r="J667" s="10"/>
    </row>
    <row r="668" spans="1:10" s="10" customFormat="1" x14ac:dyDescent="0.3">
      <c r="A668" s="26" t="s">
        <v>1017</v>
      </c>
      <c r="B668" s="26" t="s">
        <v>7594</v>
      </c>
      <c r="C668" s="26" t="s">
        <v>1021</v>
      </c>
      <c r="D668" s="26" t="s">
        <v>1013</v>
      </c>
      <c r="E668" s="26"/>
      <c r="F668" s="26"/>
      <c r="G668" s="26"/>
      <c r="H668" s="26"/>
      <c r="I668" s="26"/>
      <c r="J668" s="26"/>
    </row>
    <row r="669" spans="1:10" s="10" customFormat="1" x14ac:dyDescent="0.3">
      <c r="A669" s="10" t="s">
        <v>1345</v>
      </c>
      <c r="B669" s="10" t="s">
        <v>242</v>
      </c>
      <c r="C669" s="10" t="s">
        <v>5847</v>
      </c>
      <c r="D669" s="34" t="s">
        <v>2346</v>
      </c>
      <c r="E669" s="10" t="s">
        <v>6914</v>
      </c>
      <c r="F669" s="10" t="s">
        <v>23</v>
      </c>
      <c r="G669" s="10" t="s">
        <v>3734</v>
      </c>
    </row>
    <row r="670" spans="1:10" s="10" customFormat="1" x14ac:dyDescent="0.3">
      <c r="A670" s="10" t="s">
        <v>2169</v>
      </c>
      <c r="B670" s="10" t="s">
        <v>458</v>
      </c>
      <c r="C670" s="10" t="s">
        <v>6715</v>
      </c>
      <c r="D670" s="34" t="s">
        <v>4592</v>
      </c>
      <c r="E670" s="10" t="s">
        <v>2107</v>
      </c>
      <c r="F670" s="10" t="s">
        <v>73</v>
      </c>
    </row>
    <row r="671" spans="1:10" s="10" customFormat="1" x14ac:dyDescent="0.35">
      <c r="A671" s="26" t="s">
        <v>4877</v>
      </c>
      <c r="B671" s="26" t="s">
        <v>3536</v>
      </c>
      <c r="C671" s="26" t="s">
        <v>3920</v>
      </c>
      <c r="D671" s="26" t="s">
        <v>4472</v>
      </c>
      <c r="E671" s="24" t="s">
        <v>2463</v>
      </c>
      <c r="F671" s="26"/>
      <c r="G671" s="26"/>
      <c r="H671" s="26"/>
      <c r="I671" s="26"/>
      <c r="J671" s="26"/>
    </row>
    <row r="672" spans="1:10" x14ac:dyDescent="0.3">
      <c r="A672" s="26" t="s">
        <v>4880</v>
      </c>
      <c r="B672" s="26" t="s">
        <v>3109</v>
      </c>
      <c r="C672" s="26" t="s">
        <v>3891</v>
      </c>
      <c r="D672" s="26" t="s">
        <v>4129</v>
      </c>
      <c r="E672" s="26" t="s">
        <v>6368</v>
      </c>
      <c r="F672" s="26" t="s">
        <v>4784</v>
      </c>
      <c r="G672" s="26" t="s">
        <v>6123</v>
      </c>
      <c r="H672" s="26" t="s">
        <v>6059</v>
      </c>
      <c r="I672" s="26" t="s">
        <v>5380</v>
      </c>
    </row>
    <row r="673" spans="1:10" x14ac:dyDescent="0.3">
      <c r="A673" s="10" t="s">
        <v>1848</v>
      </c>
      <c r="B673" s="10" t="s">
        <v>1842</v>
      </c>
      <c r="C673" s="10" t="s">
        <v>6914</v>
      </c>
      <c r="D673" s="10" t="s">
        <v>1603</v>
      </c>
      <c r="E673" s="10" t="s">
        <v>7605</v>
      </c>
      <c r="F673" s="10"/>
      <c r="G673" s="10"/>
      <c r="H673" s="10"/>
      <c r="I673" s="10"/>
      <c r="J673" s="10"/>
    </row>
    <row r="674" spans="1:10" x14ac:dyDescent="0.3">
      <c r="A674" s="19" t="s">
        <v>2272</v>
      </c>
      <c r="B674" s="34" t="s">
        <v>458</v>
      </c>
      <c r="C674" s="10" t="s">
        <v>1665</v>
      </c>
      <c r="D674" s="10" t="s">
        <v>1686</v>
      </c>
      <c r="E674" s="34" t="s">
        <v>6330</v>
      </c>
      <c r="F674" s="10" t="s">
        <v>1678</v>
      </c>
      <c r="G674" s="10" t="s">
        <v>1764</v>
      </c>
      <c r="H674" s="34" t="s">
        <v>2413</v>
      </c>
      <c r="I674" s="10"/>
      <c r="J674" s="10"/>
    </row>
    <row r="675" spans="1:10" x14ac:dyDescent="0.3">
      <c r="A675" s="10" t="s">
        <v>2085</v>
      </c>
      <c r="B675" s="10" t="s">
        <v>4290</v>
      </c>
      <c r="C675" s="10" t="s">
        <v>7620</v>
      </c>
      <c r="D675" s="10" t="s">
        <v>2846</v>
      </c>
      <c r="E675" s="10" t="s">
        <v>1627</v>
      </c>
      <c r="F675" s="10"/>
      <c r="G675" s="10"/>
      <c r="H675" s="10"/>
      <c r="I675" s="10"/>
      <c r="J675" s="10"/>
    </row>
    <row r="676" spans="1:10" x14ac:dyDescent="0.3">
      <c r="A676" s="10" t="s">
        <v>3345</v>
      </c>
      <c r="B676" s="10" t="s">
        <v>34</v>
      </c>
      <c r="C676" s="10" t="s">
        <v>7477</v>
      </c>
      <c r="D676" s="10" t="s">
        <v>3393</v>
      </c>
      <c r="E676" s="10" t="s">
        <v>2451</v>
      </c>
      <c r="F676" s="10"/>
      <c r="G676" s="10"/>
      <c r="H676" s="10"/>
      <c r="I676" s="10"/>
      <c r="J676" s="10"/>
    </row>
    <row r="677" spans="1:10" x14ac:dyDescent="0.35">
      <c r="A677" s="26" t="s">
        <v>6190</v>
      </c>
      <c r="B677" s="26" t="s">
        <v>5931</v>
      </c>
      <c r="C677" s="27" t="s">
        <v>3304</v>
      </c>
      <c r="D677" s="27" t="s">
        <v>5599</v>
      </c>
      <c r="E677" s="26" t="s">
        <v>1106</v>
      </c>
    </row>
    <row r="678" spans="1:10" x14ac:dyDescent="0.3">
      <c r="A678" s="26" t="s">
        <v>6186</v>
      </c>
      <c r="B678" s="26" t="s">
        <v>2329</v>
      </c>
      <c r="C678" s="26" t="s">
        <v>1829</v>
      </c>
      <c r="D678" s="26" t="s">
        <v>9448</v>
      </c>
      <c r="E678" s="26" t="s">
        <v>1398</v>
      </c>
      <c r="F678" s="26" t="s">
        <v>6116</v>
      </c>
    </row>
    <row r="679" spans="1:10" x14ac:dyDescent="0.3">
      <c r="A679" s="26" t="s">
        <v>2965</v>
      </c>
      <c r="B679" s="26" t="s">
        <v>3345</v>
      </c>
      <c r="C679" s="26" t="s">
        <v>2846</v>
      </c>
      <c r="D679" s="26" t="s">
        <v>2849</v>
      </c>
      <c r="E679" s="26" t="s">
        <v>3911</v>
      </c>
      <c r="F679" s="26" t="s">
        <v>7307</v>
      </c>
    </row>
    <row r="680" spans="1:10" s="10" customFormat="1" x14ac:dyDescent="0.3">
      <c r="A680" s="26" t="s">
        <v>4888</v>
      </c>
      <c r="B680" s="26" t="s">
        <v>7085</v>
      </c>
      <c r="C680" s="26" t="s">
        <v>7072</v>
      </c>
      <c r="D680" s="26" t="s">
        <v>3603</v>
      </c>
      <c r="E680" s="26"/>
      <c r="F680" s="26"/>
      <c r="G680" s="26"/>
      <c r="H680" s="26"/>
      <c r="I680" s="26"/>
      <c r="J680" s="26"/>
    </row>
    <row r="681" spans="1:10" x14ac:dyDescent="0.3">
      <c r="A681" s="26" t="s">
        <v>7072</v>
      </c>
      <c r="B681" s="26" t="s">
        <v>4888</v>
      </c>
      <c r="C681" s="26" t="s">
        <v>7085</v>
      </c>
      <c r="D681" s="26" t="s">
        <v>3603</v>
      </c>
    </row>
    <row r="682" spans="1:10" x14ac:dyDescent="0.3">
      <c r="A682" s="26" t="s">
        <v>4894</v>
      </c>
      <c r="B682" s="26" t="s">
        <v>416</v>
      </c>
      <c r="C682" s="26" t="s">
        <v>2256</v>
      </c>
      <c r="D682" s="26" t="s">
        <v>5693</v>
      </c>
    </row>
    <row r="683" spans="1:10" x14ac:dyDescent="0.35">
      <c r="A683" s="26" t="s">
        <v>4901</v>
      </c>
      <c r="B683" s="26" t="s">
        <v>6216</v>
      </c>
      <c r="C683" s="27" t="s">
        <v>5737</v>
      </c>
      <c r="D683" s="26" t="s">
        <v>702</v>
      </c>
      <c r="E683" s="24" t="s">
        <v>767</v>
      </c>
    </row>
    <row r="684" spans="1:10" s="10" customFormat="1" x14ac:dyDescent="0.35">
      <c r="A684" s="26" t="s">
        <v>4909</v>
      </c>
      <c r="B684" s="26" t="s">
        <v>4645</v>
      </c>
      <c r="C684" s="27" t="s">
        <v>5847</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6914</v>
      </c>
      <c r="J685" s="10"/>
    </row>
    <row r="686" spans="1:10" x14ac:dyDescent="0.3">
      <c r="A686" s="29" t="s">
        <v>7075</v>
      </c>
    </row>
    <row r="687" spans="1:10" x14ac:dyDescent="0.3">
      <c r="A687" s="26" t="s">
        <v>4913</v>
      </c>
      <c r="B687" s="26" t="s">
        <v>5049</v>
      </c>
      <c r="C687" s="26" t="s">
        <v>34</v>
      </c>
      <c r="D687" s="26" t="s">
        <v>3151</v>
      </c>
      <c r="E687" s="26" t="s">
        <v>5575</v>
      </c>
      <c r="F687" s="26" t="s">
        <v>278</v>
      </c>
      <c r="G687" s="26" t="s">
        <v>2871</v>
      </c>
    </row>
    <row r="688" spans="1:10" x14ac:dyDescent="0.3">
      <c r="A688" s="26" t="s">
        <v>4921</v>
      </c>
      <c r="B688" s="26" t="s">
        <v>2825</v>
      </c>
      <c r="C688" s="26" t="s">
        <v>278</v>
      </c>
      <c r="D688" s="26" t="s">
        <v>1175</v>
      </c>
      <c r="E688" s="26" t="s">
        <v>1185</v>
      </c>
      <c r="F688" s="26" t="s">
        <v>2804</v>
      </c>
      <c r="G688" s="26" t="s">
        <v>1923</v>
      </c>
      <c r="H688" s="26" t="s">
        <v>1931</v>
      </c>
    </row>
    <row r="689" spans="1:10" x14ac:dyDescent="0.3">
      <c r="A689" s="19" t="s">
        <v>7114</v>
      </c>
      <c r="B689" s="34" t="s">
        <v>4365</v>
      </c>
      <c r="C689" s="10" t="s">
        <v>4033</v>
      </c>
      <c r="D689" s="10" t="s">
        <v>4078</v>
      </c>
      <c r="E689" s="10" t="s">
        <v>3442</v>
      </c>
      <c r="F689" s="10" t="s">
        <v>7573</v>
      </c>
      <c r="G689" s="34" t="s">
        <v>2539</v>
      </c>
      <c r="H689" s="10"/>
      <c r="I689" s="10"/>
      <c r="J689" s="10"/>
    </row>
    <row r="690" spans="1:10" x14ac:dyDescent="0.3">
      <c r="A690" s="29" t="s">
        <v>7117</v>
      </c>
    </row>
    <row r="691" spans="1:10" x14ac:dyDescent="0.3">
      <c r="A691" s="28" t="s">
        <v>7119</v>
      </c>
      <c r="B691" s="26" t="s">
        <v>4420</v>
      </c>
      <c r="C691" s="26" t="s">
        <v>9528</v>
      </c>
      <c r="D691" s="26" t="s">
        <v>7003</v>
      </c>
    </row>
    <row r="692" spans="1:10" s="10" customFormat="1" x14ac:dyDescent="0.3">
      <c r="A692" s="26" t="s">
        <v>4929</v>
      </c>
      <c r="B692" s="26" t="s">
        <v>4592</v>
      </c>
      <c r="C692" s="26" t="s">
        <v>2169</v>
      </c>
      <c r="D692" s="26" t="s">
        <v>3596</v>
      </c>
      <c r="E692" s="26" t="s">
        <v>7385</v>
      </c>
      <c r="F692" s="26"/>
      <c r="G692" s="26"/>
      <c r="H692" s="26"/>
      <c r="I692" s="26"/>
      <c r="J692" s="26"/>
    </row>
    <row r="693" spans="1:10" x14ac:dyDescent="0.3">
      <c r="A693" s="26" t="s">
        <v>920</v>
      </c>
      <c r="B693" s="26" t="s">
        <v>912</v>
      </c>
      <c r="C693" s="26" t="s">
        <v>936</v>
      </c>
      <c r="D693" s="26" t="s">
        <v>2804</v>
      </c>
      <c r="E693" s="26" t="s">
        <v>2811</v>
      </c>
      <c r="F693" s="26" t="s">
        <v>5866</v>
      </c>
      <c r="G693" s="26" t="s">
        <v>5870</v>
      </c>
      <c r="H693" s="26" t="s">
        <v>924</v>
      </c>
      <c r="I693" s="26" t="s">
        <v>928</v>
      </c>
      <c r="J693" s="26" t="s">
        <v>932</v>
      </c>
    </row>
    <row r="694" spans="1:10" x14ac:dyDescent="0.35">
      <c r="A694" s="26" t="s">
        <v>3389</v>
      </c>
      <c r="B694" s="27" t="s">
        <v>3369</v>
      </c>
      <c r="C694" s="27" t="s">
        <v>5288</v>
      </c>
      <c r="D694" s="26" t="s">
        <v>3873</v>
      </c>
      <c r="E694" s="24" t="s">
        <v>2325</v>
      </c>
      <c r="F694" s="26" t="s">
        <v>728</v>
      </c>
      <c r="G694" s="26" t="s">
        <v>3151</v>
      </c>
    </row>
    <row r="695" spans="1:10" x14ac:dyDescent="0.3">
      <c r="A695" s="26" t="s">
        <v>6198</v>
      </c>
      <c r="B695" s="26" t="s">
        <v>3414</v>
      </c>
      <c r="C695" s="26" t="s">
        <v>7014</v>
      </c>
      <c r="D695" s="26" t="s">
        <v>1829</v>
      </c>
      <c r="E695" s="26" t="s">
        <v>9448</v>
      </c>
    </row>
    <row r="696" spans="1:10" x14ac:dyDescent="0.3">
      <c r="A696" s="26" t="s">
        <v>6202</v>
      </c>
      <c r="B696" s="26" t="s">
        <v>5528</v>
      </c>
      <c r="C696" s="26" t="s">
        <v>5087</v>
      </c>
      <c r="D696" s="26" t="s">
        <v>6487</v>
      </c>
      <c r="E696" s="26" t="s">
        <v>7160</v>
      </c>
      <c r="F696" s="26" t="s">
        <v>7026</v>
      </c>
    </row>
    <row r="697" spans="1:10" x14ac:dyDescent="0.3">
      <c r="A697" s="10" t="s">
        <v>2216</v>
      </c>
      <c r="B697" s="10" t="s">
        <v>458</v>
      </c>
      <c r="C697" s="34" t="s">
        <v>6622</v>
      </c>
      <c r="D697" s="34" t="s">
        <v>6656</v>
      </c>
      <c r="E697" s="10" t="s">
        <v>3481</v>
      </c>
      <c r="F697" s="10"/>
      <c r="G697" s="10"/>
      <c r="H697" s="10"/>
      <c r="I697" s="10"/>
      <c r="J697" s="10"/>
    </row>
    <row r="698" spans="1:10" x14ac:dyDescent="0.3">
      <c r="A698" s="26" t="s">
        <v>4936</v>
      </c>
      <c r="B698" s="26" t="s">
        <v>6922</v>
      </c>
      <c r="C698" s="26" t="s">
        <v>4980</v>
      </c>
      <c r="D698" s="26" t="s">
        <v>5603</v>
      </c>
      <c r="E698" s="26" t="s">
        <v>2139</v>
      </c>
      <c r="F698" s="26" t="s">
        <v>5893</v>
      </c>
    </row>
    <row r="699" spans="1:10" x14ac:dyDescent="0.35">
      <c r="A699" s="26" t="s">
        <v>4944</v>
      </c>
      <c r="B699" s="26" t="s">
        <v>1718</v>
      </c>
      <c r="C699" s="24" t="s">
        <v>459</v>
      </c>
    </row>
    <row r="700" spans="1:10" s="10" customFormat="1" x14ac:dyDescent="0.3">
      <c r="A700" s="26" t="s">
        <v>4948</v>
      </c>
      <c r="B700" s="26" t="s">
        <v>5726</v>
      </c>
      <c r="C700" s="26" t="s">
        <v>4800</v>
      </c>
      <c r="D700" s="26" t="s">
        <v>4693</v>
      </c>
      <c r="E700" s="26" t="s">
        <v>1678</v>
      </c>
      <c r="F700" s="26" t="s">
        <v>69</v>
      </c>
      <c r="G700" s="26"/>
      <c r="H700" s="26"/>
      <c r="I700" s="26"/>
      <c r="J700" s="26"/>
    </row>
    <row r="701" spans="1:10" s="10" customFormat="1" x14ac:dyDescent="0.35">
      <c r="A701" s="26" t="s">
        <v>666</v>
      </c>
      <c r="B701" s="26" t="s">
        <v>642</v>
      </c>
      <c r="C701" s="27" t="s">
        <v>678</v>
      </c>
      <c r="D701" s="26" t="s">
        <v>6715</v>
      </c>
      <c r="E701" s="26" t="s">
        <v>4450</v>
      </c>
      <c r="F701" s="26" t="s">
        <v>6966</v>
      </c>
      <c r="G701" s="26" t="s">
        <v>634</v>
      </c>
      <c r="H701" s="26" t="s">
        <v>786</v>
      </c>
      <c r="I701" s="26" t="s">
        <v>686</v>
      </c>
      <c r="J701" s="26" t="s">
        <v>3954</v>
      </c>
    </row>
    <row r="702" spans="1:10" x14ac:dyDescent="0.35">
      <c r="A702" s="26" t="s">
        <v>6206</v>
      </c>
      <c r="B702" s="26" t="s">
        <v>5876</v>
      </c>
      <c r="C702" s="26" t="s">
        <v>4738</v>
      </c>
      <c r="D702" s="27" t="s">
        <v>6789</v>
      </c>
    </row>
    <row r="703" spans="1:10" x14ac:dyDescent="0.35">
      <c r="A703" s="26" t="s">
        <v>4952</v>
      </c>
      <c r="B703" s="26" t="s">
        <v>4472</v>
      </c>
      <c r="C703" s="26" t="s">
        <v>1718</v>
      </c>
      <c r="D703" s="26" t="s">
        <v>4877</v>
      </c>
      <c r="E703" s="24" t="s">
        <v>2487</v>
      </c>
      <c r="F703" s="26" t="s">
        <v>6260</v>
      </c>
    </row>
    <row r="704" spans="1:10" x14ac:dyDescent="0.35">
      <c r="A704" s="26" t="s">
        <v>4956</v>
      </c>
      <c r="B704" s="26" t="s">
        <v>6023</v>
      </c>
      <c r="C704" s="27" t="s">
        <v>3658</v>
      </c>
    </row>
    <row r="705" spans="1:10" x14ac:dyDescent="0.3">
      <c r="A705" s="10" t="s">
        <v>6210</v>
      </c>
      <c r="B705" s="34" t="s">
        <v>82</v>
      </c>
      <c r="C705" s="34" t="s">
        <v>4738</v>
      </c>
      <c r="D705" s="10"/>
      <c r="E705" s="10"/>
      <c r="F705" s="10"/>
      <c r="G705" s="10"/>
      <c r="H705" s="10"/>
      <c r="I705" s="10"/>
      <c r="J705" s="10"/>
    </row>
    <row r="706" spans="1:10" x14ac:dyDescent="0.3">
      <c r="A706" s="19" t="s">
        <v>4960</v>
      </c>
      <c r="B706" s="10" t="s">
        <v>6622</v>
      </c>
      <c r="C706" s="10" t="s">
        <v>2119</v>
      </c>
      <c r="D706" s="10" t="s">
        <v>6758</v>
      </c>
      <c r="E706" s="10" t="s">
        <v>6994</v>
      </c>
      <c r="F706" s="10" t="s">
        <v>5020</v>
      </c>
      <c r="G706" s="10"/>
      <c r="H706" s="10"/>
      <c r="I706" s="10"/>
      <c r="J706" s="10"/>
    </row>
    <row r="707" spans="1:10" x14ac:dyDescent="0.3">
      <c r="A707" s="26" t="s">
        <v>4964</v>
      </c>
      <c r="B707" s="26" t="s">
        <v>1169</v>
      </c>
      <c r="C707" s="26" t="s">
        <v>1212</v>
      </c>
      <c r="D707" s="26" t="s">
        <v>1216</v>
      </c>
      <c r="E707" s="26" t="s">
        <v>1229</v>
      </c>
      <c r="F707" s="26" t="s">
        <v>1204</v>
      </c>
      <c r="G707" s="26" t="s">
        <v>1293</v>
      </c>
      <c r="H707" s="26" t="s">
        <v>7509</v>
      </c>
      <c r="I707" s="26" t="s">
        <v>1238</v>
      </c>
    </row>
    <row r="708" spans="1:10" x14ac:dyDescent="0.3">
      <c r="A708" s="26" t="s">
        <v>4972</v>
      </c>
      <c r="B708" s="26" t="s">
        <v>2811</v>
      </c>
      <c r="C708" s="26" t="s">
        <v>1648</v>
      </c>
      <c r="D708" s="26" t="s">
        <v>1678</v>
      </c>
      <c r="E708" s="26" t="s">
        <v>5866</v>
      </c>
      <c r="F708" s="26" t="s">
        <v>5870</v>
      </c>
    </row>
    <row r="709" spans="1:10" x14ac:dyDescent="0.35">
      <c r="A709" s="26" t="s">
        <v>1907</v>
      </c>
      <c r="B709" s="26" t="s">
        <v>1842</v>
      </c>
      <c r="C709" s="26" t="s">
        <v>5190</v>
      </c>
      <c r="D709" s="27" t="s">
        <v>1517</v>
      </c>
      <c r="E709" s="27" t="s">
        <v>1521</v>
      </c>
      <c r="F709" s="26" t="s">
        <v>6914</v>
      </c>
      <c r="G709" s="26" t="s">
        <v>3548</v>
      </c>
    </row>
    <row r="710" spans="1:10" x14ac:dyDescent="0.3">
      <c r="A710" s="26" t="s">
        <v>4980</v>
      </c>
      <c r="B710" s="26" t="s">
        <v>4936</v>
      </c>
      <c r="C710" s="26" t="s">
        <v>69</v>
      </c>
      <c r="D710" s="26" t="s">
        <v>6922</v>
      </c>
      <c r="E710" s="26" t="s">
        <v>6314</v>
      </c>
      <c r="F710" s="26" t="s">
        <v>9619</v>
      </c>
      <c r="G710" s="26" t="s">
        <v>9620</v>
      </c>
    </row>
    <row r="711" spans="1:10" x14ac:dyDescent="0.35">
      <c r="A711" s="26" t="s">
        <v>4988</v>
      </c>
      <c r="B711" s="26" t="s">
        <v>3020</v>
      </c>
      <c r="C711" s="26" t="s">
        <v>9629</v>
      </c>
      <c r="D711" s="24" t="s">
        <v>2551</v>
      </c>
      <c r="E711" s="26" t="s">
        <v>3705</v>
      </c>
      <c r="F711" s="26" t="s">
        <v>9397</v>
      </c>
      <c r="G711" s="26" t="s">
        <v>2884</v>
      </c>
      <c r="H711" s="26" t="s">
        <v>2862</v>
      </c>
    </row>
    <row r="712" spans="1:10" x14ac:dyDescent="0.3">
      <c r="A712" s="26" t="s">
        <v>4995</v>
      </c>
      <c r="B712" s="26" t="s">
        <v>6004</v>
      </c>
      <c r="C712" s="26" t="s">
        <v>3458</v>
      </c>
      <c r="D712" s="26" t="s">
        <v>3942</v>
      </c>
      <c r="E712" s="26" t="s">
        <v>3767</v>
      </c>
      <c r="F712" s="26" t="s">
        <v>3603</v>
      </c>
    </row>
    <row r="713" spans="1:10" x14ac:dyDescent="0.35">
      <c r="A713" s="26" t="s">
        <v>6216</v>
      </c>
      <c r="B713" s="26" t="s">
        <v>6322</v>
      </c>
      <c r="C713" s="24" t="s">
        <v>9472</v>
      </c>
      <c r="D713" s="27" t="s">
        <v>760</v>
      </c>
      <c r="E713" s="26" t="s">
        <v>733</v>
      </c>
      <c r="F713" s="26" t="s">
        <v>9631</v>
      </c>
    </row>
    <row r="714" spans="1:10" x14ac:dyDescent="0.3">
      <c r="A714" s="26" t="s">
        <v>6222</v>
      </c>
      <c r="B714" s="26" t="s">
        <v>6772</v>
      </c>
      <c r="C714" s="26" t="s">
        <v>5912</v>
      </c>
      <c r="D714" s="26" t="s">
        <v>6824</v>
      </c>
      <c r="E714" s="26" t="s">
        <v>7135</v>
      </c>
      <c r="F714" s="26" t="s">
        <v>3865</v>
      </c>
      <c r="G714" s="26" t="s">
        <v>3857</v>
      </c>
      <c r="H714" s="26" t="s">
        <v>7584</v>
      </c>
    </row>
    <row r="715" spans="1:10" x14ac:dyDescent="0.3">
      <c r="A715" s="26" t="s">
        <v>5000</v>
      </c>
      <c r="B715" s="26" t="s">
        <v>2811</v>
      </c>
      <c r="C715" s="26" t="s">
        <v>5413</v>
      </c>
      <c r="D715" s="26" t="s">
        <v>7519</v>
      </c>
      <c r="E715" s="26" t="s">
        <v>5847</v>
      </c>
      <c r="F715" s="26" t="s">
        <v>5575</v>
      </c>
      <c r="G715" s="26" t="s">
        <v>2008</v>
      </c>
      <c r="H715" s="26" t="s">
        <v>278</v>
      </c>
      <c r="I715" s="26" t="s">
        <v>2233</v>
      </c>
      <c r="J715" s="26" t="s">
        <v>2859</v>
      </c>
    </row>
    <row r="716" spans="1:10" x14ac:dyDescent="0.35">
      <c r="A716" s="26" t="s">
        <v>5008</v>
      </c>
      <c r="B716" s="26" t="s">
        <v>2721</v>
      </c>
      <c r="C716" s="27" t="s">
        <v>9614</v>
      </c>
      <c r="D716" s="26" t="s">
        <v>1736</v>
      </c>
      <c r="E716" s="26" t="s">
        <v>7231</v>
      </c>
      <c r="F716" s="26" t="s">
        <v>4357</v>
      </c>
      <c r="G716" s="26" t="s">
        <v>4715</v>
      </c>
    </row>
    <row r="717" spans="1:10" x14ac:dyDescent="0.3">
      <c r="A717" s="26" t="s">
        <v>6229</v>
      </c>
      <c r="B717" s="26" t="s">
        <v>6067</v>
      </c>
      <c r="C717" s="26" t="s">
        <v>3414</v>
      </c>
      <c r="D717" s="26" t="s">
        <v>7014</v>
      </c>
      <c r="E717" s="26" t="s">
        <v>2732</v>
      </c>
      <c r="F717" s="26" t="s">
        <v>4161</v>
      </c>
      <c r="G717" s="26" t="s">
        <v>23</v>
      </c>
      <c r="H717" s="26" t="s">
        <v>6572</v>
      </c>
      <c r="I717" s="26" t="s">
        <v>7617</v>
      </c>
      <c r="J717" s="26" t="s">
        <v>1568</v>
      </c>
    </row>
    <row r="718" spans="1:10" x14ac:dyDescent="0.3">
      <c r="A718" s="26" t="s">
        <v>6233</v>
      </c>
      <c r="B718" s="26" t="s">
        <v>2772</v>
      </c>
      <c r="C718" s="26" t="s">
        <v>5893</v>
      </c>
      <c r="D718" s="26" t="s">
        <v>6789</v>
      </c>
      <c r="E718" s="26" t="s">
        <v>1037</v>
      </c>
      <c r="F718" s="26" t="s">
        <v>7425</v>
      </c>
      <c r="G718" s="26" t="s">
        <v>7170</v>
      </c>
    </row>
    <row r="719" spans="1:10" x14ac:dyDescent="0.3">
      <c r="A719" s="26" t="s">
        <v>6241</v>
      </c>
      <c r="B719" s="26" t="s">
        <v>7584</v>
      </c>
      <c r="C719" s="26" t="s">
        <v>4751</v>
      </c>
      <c r="D719" s="26" t="s">
        <v>1711</v>
      </c>
    </row>
    <row r="720" spans="1:10" x14ac:dyDescent="0.3">
      <c r="A720" s="26" t="s">
        <v>6245</v>
      </c>
      <c r="B720" s="26" t="s">
        <v>1622</v>
      </c>
      <c r="C720" s="26" t="s">
        <v>4266</v>
      </c>
      <c r="D720" s="26" t="s">
        <v>6112</v>
      </c>
    </row>
    <row r="721" spans="1:10" s="10" customFormat="1" x14ac:dyDescent="0.35">
      <c r="A721" s="26" t="s">
        <v>6249</v>
      </c>
      <c r="B721" s="27" t="s">
        <v>4622</v>
      </c>
      <c r="C721" s="26" t="s">
        <v>2156</v>
      </c>
      <c r="D721" s="26" t="s">
        <v>5951</v>
      </c>
      <c r="E721" s="26" t="s">
        <v>4784</v>
      </c>
      <c r="F721" s="26" t="s">
        <v>6123</v>
      </c>
      <c r="G721" s="26" t="s">
        <v>6368</v>
      </c>
      <c r="H721" s="26" t="s">
        <v>5147</v>
      </c>
      <c r="I721" s="26" t="s">
        <v>4129</v>
      </c>
      <c r="J721" s="26"/>
    </row>
    <row r="722" spans="1:10" x14ac:dyDescent="0.35">
      <c r="A722" s="26" t="s">
        <v>1323</v>
      </c>
      <c r="B722" s="26" t="s">
        <v>9613</v>
      </c>
      <c r="C722" s="26" t="s">
        <v>7248</v>
      </c>
      <c r="D722" s="26" t="s">
        <v>4964</v>
      </c>
      <c r="E722" s="27" t="s">
        <v>1303</v>
      </c>
      <c r="F722" s="26" t="s">
        <v>1248</v>
      </c>
      <c r="G722" s="26" t="s">
        <v>1190</v>
      </c>
    </row>
    <row r="723" spans="1:10" s="10" customFormat="1" x14ac:dyDescent="0.3">
      <c r="A723" s="26" t="s">
        <v>5012</v>
      </c>
      <c r="B723" s="26" t="s">
        <v>5983</v>
      </c>
      <c r="C723" s="26" t="s">
        <v>458</v>
      </c>
      <c r="D723" s="26" t="s">
        <v>6820</v>
      </c>
      <c r="E723" s="26" t="s">
        <v>2721</v>
      </c>
      <c r="F723" s="26" t="s">
        <v>29</v>
      </c>
      <c r="G723" s="26" t="s">
        <v>6156</v>
      </c>
      <c r="H723" s="26" t="s">
        <v>1736</v>
      </c>
      <c r="I723" s="26"/>
      <c r="J723" s="26"/>
    </row>
    <row r="724" spans="1:10" x14ac:dyDescent="0.3">
      <c r="A724" s="26" t="s">
        <v>5016</v>
      </c>
      <c r="B724" s="26" t="s">
        <v>9520</v>
      </c>
      <c r="C724" s="26" t="s">
        <v>2846</v>
      </c>
      <c r="D724" s="26" t="s">
        <v>5466</v>
      </c>
      <c r="E724" s="26" t="s">
        <v>9487</v>
      </c>
    </row>
    <row r="725" spans="1:10" x14ac:dyDescent="0.3">
      <c r="A725" s="10" t="s">
        <v>6252</v>
      </c>
      <c r="B725" s="10" t="s">
        <v>23</v>
      </c>
      <c r="C725" s="10" t="s">
        <v>6914</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7206</v>
      </c>
      <c r="F726" s="26" t="s">
        <v>1981</v>
      </c>
      <c r="G726" s="24" t="s">
        <v>1114</v>
      </c>
      <c r="H726" s="24" t="s">
        <v>1117</v>
      </c>
      <c r="I726" s="26" t="s">
        <v>5713</v>
      </c>
      <c r="J726" s="26" t="s">
        <v>642</v>
      </c>
    </row>
    <row r="727" spans="1:10" x14ac:dyDescent="0.3">
      <c r="A727" s="19" t="s">
        <v>5020</v>
      </c>
      <c r="B727" s="10" t="s">
        <v>6622</v>
      </c>
      <c r="C727" s="10" t="s">
        <v>2119</v>
      </c>
      <c r="D727" s="10" t="s">
        <v>6758</v>
      </c>
      <c r="E727" s="10" t="s">
        <v>6994</v>
      </c>
      <c r="F727" s="10" t="s">
        <v>3857</v>
      </c>
      <c r="G727" s="10" t="s">
        <v>4960</v>
      </c>
      <c r="H727" s="10"/>
      <c r="I727" s="10"/>
      <c r="J727" s="10"/>
    </row>
    <row r="728" spans="1:10" x14ac:dyDescent="0.35">
      <c r="A728" s="26" t="s">
        <v>6256</v>
      </c>
      <c r="B728" s="24" t="s">
        <v>3946</v>
      </c>
      <c r="C728" s="26" t="s">
        <v>3176</v>
      </c>
      <c r="D728" s="27" t="s">
        <v>3180</v>
      </c>
      <c r="E728" s="27" t="s">
        <v>3831</v>
      </c>
    </row>
    <row r="729" spans="1:10" x14ac:dyDescent="0.35">
      <c r="A729" s="26" t="s">
        <v>6260</v>
      </c>
      <c r="B729" s="26" t="s">
        <v>4877</v>
      </c>
      <c r="C729" s="26" t="s">
        <v>4472</v>
      </c>
      <c r="D729" s="24" t="s">
        <v>2463</v>
      </c>
      <c r="E729" s="26" t="s">
        <v>3434</v>
      </c>
    </row>
    <row r="730" spans="1:10" x14ac:dyDescent="0.3">
      <c r="A730" s="10" t="s">
        <v>2744</v>
      </c>
      <c r="B730" s="10" t="s">
        <v>6172</v>
      </c>
      <c r="C730" s="10" t="s">
        <v>6914</v>
      </c>
      <c r="D730" s="10" t="s">
        <v>23</v>
      </c>
      <c r="E730" s="10" t="s">
        <v>2200</v>
      </c>
      <c r="F730" s="10"/>
      <c r="G730" s="10"/>
      <c r="H730" s="10"/>
      <c r="I730" s="10"/>
      <c r="J730" s="10"/>
    </row>
    <row r="731" spans="1:10" x14ac:dyDescent="0.3">
      <c r="A731" s="26" t="s">
        <v>6265</v>
      </c>
      <c r="B731" s="26" t="s">
        <v>5528</v>
      </c>
      <c r="C731" s="26" t="s">
        <v>5087</v>
      </c>
      <c r="D731" s="26" t="s">
        <v>6487</v>
      </c>
      <c r="E731" s="26" t="s">
        <v>6023</v>
      </c>
    </row>
    <row r="732" spans="1:10" x14ac:dyDescent="0.3">
      <c r="A732" s="26" t="s">
        <v>6269</v>
      </c>
      <c r="B732" s="26" t="s">
        <v>7405</v>
      </c>
      <c r="C732" s="26" t="s">
        <v>3458</v>
      </c>
      <c r="D732" s="26" t="s">
        <v>9528</v>
      </c>
      <c r="E732" s="26" t="s">
        <v>4420</v>
      </c>
      <c r="F732" s="26" t="s">
        <v>4980</v>
      </c>
      <c r="G732" s="26" t="s">
        <v>4936</v>
      </c>
      <c r="H732" s="26" t="s">
        <v>6922</v>
      </c>
    </row>
    <row r="733" spans="1:10" x14ac:dyDescent="0.35">
      <c r="A733" s="26" t="s">
        <v>1414</v>
      </c>
      <c r="B733" s="26" t="s">
        <v>9448</v>
      </c>
      <c r="C733" s="27" t="s">
        <v>1829</v>
      </c>
      <c r="D733" s="24" t="s">
        <v>1394</v>
      </c>
    </row>
    <row r="734" spans="1:10" s="10" customFormat="1" x14ac:dyDescent="0.35">
      <c r="A734" s="26" t="s">
        <v>2993</v>
      </c>
      <c r="B734" s="26" t="s">
        <v>2846</v>
      </c>
      <c r="C734" s="27" t="s">
        <v>2772</v>
      </c>
      <c r="D734" s="27" t="s">
        <v>7425</v>
      </c>
      <c r="E734" s="26" t="s">
        <v>5304</v>
      </c>
      <c r="F734" s="26" t="s">
        <v>5726</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6273</v>
      </c>
      <c r="B737" s="26" t="s">
        <v>1042</v>
      </c>
      <c r="C737" s="26" t="s">
        <v>5147</v>
      </c>
      <c r="D737" s="27" t="s">
        <v>2390</v>
      </c>
      <c r="E737" s="27" t="s">
        <v>1106</v>
      </c>
      <c r="F737" s="26" t="s">
        <v>1094</v>
      </c>
      <c r="G737" s="26" t="s">
        <v>9632</v>
      </c>
      <c r="H737" s="26"/>
      <c r="I737" s="26"/>
      <c r="J737" s="26"/>
    </row>
    <row r="738" spans="1:10" s="10" customFormat="1" x14ac:dyDescent="0.3">
      <c r="A738" s="10" t="s">
        <v>6277</v>
      </c>
      <c r="B738" s="10" t="s">
        <v>34</v>
      </c>
      <c r="C738" s="10" t="s">
        <v>3349</v>
      </c>
      <c r="D738" s="10" t="s">
        <v>3176</v>
      </c>
      <c r="E738" s="10" t="s">
        <v>817</v>
      </c>
      <c r="F738" s="10" t="s">
        <v>6475</v>
      </c>
      <c r="G738" s="36" t="s">
        <v>2401</v>
      </c>
      <c r="H738" s="10" t="s">
        <v>3831</v>
      </c>
    </row>
    <row r="739" spans="1:10" x14ac:dyDescent="0.35">
      <c r="A739" s="26" t="s">
        <v>6281</v>
      </c>
      <c r="B739" s="26" t="s">
        <v>5726</v>
      </c>
      <c r="C739" s="27" t="s">
        <v>5304</v>
      </c>
    </row>
    <row r="740" spans="1:10" s="10" customFormat="1" x14ac:dyDescent="0.3">
      <c r="A740" s="10" t="s">
        <v>1161</v>
      </c>
      <c r="B740" s="10" t="s">
        <v>23</v>
      </c>
      <c r="C740" s="10" t="s">
        <v>5847</v>
      </c>
      <c r="D740" s="10" t="s">
        <v>2300</v>
      </c>
      <c r="E740" s="10" t="s">
        <v>6914</v>
      </c>
    </row>
    <row r="741" spans="1:10" x14ac:dyDescent="0.3">
      <c r="A741" s="10" t="s">
        <v>5024</v>
      </c>
      <c r="B741" s="10" t="s">
        <v>6572</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5326</v>
      </c>
      <c r="I742" s="10" t="s">
        <v>5071</v>
      </c>
      <c r="J742" s="10" t="s">
        <v>2768</v>
      </c>
    </row>
    <row r="743" spans="1:10" x14ac:dyDescent="0.35">
      <c r="A743" s="26" t="s">
        <v>5028</v>
      </c>
      <c r="B743" s="27" t="s">
        <v>4645</v>
      </c>
      <c r="C743" s="27" t="s">
        <v>4800</v>
      </c>
      <c r="D743" s="27" t="s">
        <v>1622</v>
      </c>
      <c r="E743" s="27" t="s">
        <v>1630</v>
      </c>
    </row>
    <row r="744" spans="1:10" s="10" customFormat="1" x14ac:dyDescent="0.3">
      <c r="A744" s="10" t="s">
        <v>1630</v>
      </c>
      <c r="B744" s="10" t="s">
        <v>5028</v>
      </c>
      <c r="C744" s="10" t="s">
        <v>4800</v>
      </c>
      <c r="D744" s="10" t="s">
        <v>1622</v>
      </c>
      <c r="E744" s="10" t="s">
        <v>69</v>
      </c>
    </row>
    <row r="745" spans="1:10" x14ac:dyDescent="0.3">
      <c r="A745" s="26" t="s">
        <v>2636</v>
      </c>
      <c r="B745" s="26" t="s">
        <v>4445</v>
      </c>
      <c r="C745" s="26" t="s">
        <v>2622</v>
      </c>
      <c r="D745" s="26" t="s">
        <v>4098</v>
      </c>
      <c r="E745" s="26" t="s">
        <v>5372</v>
      </c>
    </row>
    <row r="746" spans="1:10" s="10" customFormat="1" x14ac:dyDescent="0.35">
      <c r="A746" s="26" t="s">
        <v>5036</v>
      </c>
      <c r="B746" s="27" t="s">
        <v>4493</v>
      </c>
      <c r="C746" s="27" t="s">
        <v>2811</v>
      </c>
      <c r="D746" s="27" t="s">
        <v>2804</v>
      </c>
      <c r="E746" s="26" t="s">
        <v>9400</v>
      </c>
      <c r="F746" s="26" t="s">
        <v>884</v>
      </c>
      <c r="G746" s="26" t="s">
        <v>3939</v>
      </c>
      <c r="H746" s="26" t="s">
        <v>69</v>
      </c>
      <c r="I746" s="26"/>
      <c r="J746" s="26"/>
    </row>
    <row r="747" spans="1:10" x14ac:dyDescent="0.35">
      <c r="A747" s="26" t="s">
        <v>5041</v>
      </c>
      <c r="B747" s="27" t="s">
        <v>2636</v>
      </c>
      <c r="C747" s="26" t="s">
        <v>9641</v>
      </c>
      <c r="D747" s="26" t="s">
        <v>9642</v>
      </c>
      <c r="E747" s="26" t="s">
        <v>2846</v>
      </c>
      <c r="F747" s="26" t="s">
        <v>2834</v>
      </c>
      <c r="G747" s="26" t="s">
        <v>2856</v>
      </c>
      <c r="H747" s="26" t="s">
        <v>2859</v>
      </c>
      <c r="I747" s="26" t="s">
        <v>2852</v>
      </c>
    </row>
    <row r="748" spans="1:10" x14ac:dyDescent="0.3">
      <c r="A748" s="10" t="s">
        <v>2871</v>
      </c>
      <c r="B748" s="10" t="s">
        <v>2846</v>
      </c>
      <c r="C748" s="34" t="s">
        <v>82</v>
      </c>
      <c r="D748" s="10" t="s">
        <v>7614</v>
      </c>
      <c r="E748" s="10" t="s">
        <v>3458</v>
      </c>
      <c r="F748" s="10"/>
      <c r="G748" s="10"/>
      <c r="H748" s="10"/>
      <c r="I748" s="10"/>
      <c r="J748" s="10"/>
    </row>
    <row r="749" spans="1:10" s="10" customFormat="1" x14ac:dyDescent="0.35">
      <c r="A749" s="26" t="s">
        <v>6285</v>
      </c>
      <c r="B749" s="26" t="s">
        <v>4106</v>
      </c>
      <c r="C749" s="26" t="s">
        <v>1032</v>
      </c>
      <c r="D749" s="26" t="s">
        <v>6475</v>
      </c>
      <c r="E749" s="26"/>
      <c r="F749" s="26"/>
      <c r="G749" s="27"/>
      <c r="H749" s="26"/>
      <c r="I749" s="26"/>
      <c r="J749" s="26"/>
    </row>
    <row r="750" spans="1:10" x14ac:dyDescent="0.3">
      <c r="A750" s="10" t="s">
        <v>2076</v>
      </c>
      <c r="B750" s="10" t="s">
        <v>2871</v>
      </c>
      <c r="C750" s="10" t="s">
        <v>6507</v>
      </c>
      <c r="D750" s="10" t="s">
        <v>82</v>
      </c>
      <c r="E750" s="10" t="s">
        <v>34</v>
      </c>
      <c r="F750" s="10" t="s">
        <v>4161</v>
      </c>
      <c r="G750" s="10" t="s">
        <v>6922</v>
      </c>
      <c r="H750" s="10" t="s">
        <v>2846</v>
      </c>
      <c r="I750" s="10" t="s">
        <v>7614</v>
      </c>
      <c r="J750" s="10"/>
    </row>
    <row r="751" spans="1:10" x14ac:dyDescent="0.35">
      <c r="A751" s="26" t="s">
        <v>6289</v>
      </c>
      <c r="B751" s="27" t="s">
        <v>7493</v>
      </c>
      <c r="C751" s="26" t="s">
        <v>638</v>
      </c>
      <c r="D751" s="26" t="s">
        <v>4065</v>
      </c>
      <c r="E751" s="26" t="s">
        <v>3588</v>
      </c>
      <c r="F751" s="26" t="s">
        <v>607</v>
      </c>
      <c r="G751" s="26" t="s">
        <v>1950</v>
      </c>
      <c r="H751" s="27" t="s">
        <v>6004</v>
      </c>
      <c r="I751" s="24" t="s">
        <v>7182</v>
      </c>
      <c r="J751" s="26" t="s">
        <v>1013</v>
      </c>
    </row>
    <row r="752" spans="1:10" s="10" customFormat="1" x14ac:dyDescent="0.3">
      <c r="A752" s="26" t="s">
        <v>6296</v>
      </c>
      <c r="B752" s="26" t="s">
        <v>4841</v>
      </c>
      <c r="C752" s="26" t="s">
        <v>5847</v>
      </c>
      <c r="D752" s="26" t="s">
        <v>1617</v>
      </c>
      <c r="E752" s="26" t="s">
        <v>6731</v>
      </c>
      <c r="F752" s="26"/>
      <c r="G752" s="26"/>
      <c r="H752" s="26"/>
      <c r="I752" s="26"/>
      <c r="J752" s="26"/>
    </row>
    <row r="753" spans="1:10" s="10" customFormat="1" x14ac:dyDescent="0.3">
      <c r="A753" s="10" t="s">
        <v>6306</v>
      </c>
      <c r="B753" s="10" t="s">
        <v>544</v>
      </c>
      <c r="C753" s="10" t="s">
        <v>490</v>
      </c>
    </row>
    <row r="754" spans="1:10" x14ac:dyDescent="0.35">
      <c r="A754" s="26" t="s">
        <v>6314</v>
      </c>
      <c r="B754" s="26" t="s">
        <v>6922</v>
      </c>
      <c r="C754" s="27" t="s">
        <v>4980</v>
      </c>
      <c r="D754" s="27" t="s">
        <v>6914</v>
      </c>
      <c r="E754" s="26" t="s">
        <v>3548</v>
      </c>
      <c r="F754" s="26" t="s">
        <v>9620</v>
      </c>
      <c r="G754" s="26" t="s">
        <v>9619</v>
      </c>
      <c r="H754" s="26" t="s">
        <v>2139</v>
      </c>
      <c r="I754" s="26" t="s">
        <v>3257</v>
      </c>
      <c r="J754" s="26" t="s">
        <v>1568</v>
      </c>
    </row>
    <row r="755" spans="1:10" s="10" customFormat="1" x14ac:dyDescent="0.3">
      <c r="A755" s="26" t="s">
        <v>936</v>
      </c>
      <c r="B755" s="26" t="s">
        <v>912</v>
      </c>
      <c r="C755" s="26" t="s">
        <v>4738</v>
      </c>
      <c r="D755" s="26" t="s">
        <v>920</v>
      </c>
      <c r="E755" s="26" t="s">
        <v>924</v>
      </c>
      <c r="F755" s="26" t="s">
        <v>928</v>
      </c>
      <c r="G755" s="26" t="s">
        <v>932</v>
      </c>
      <c r="H755" s="26" t="s">
        <v>968</v>
      </c>
      <c r="I755" s="26" t="s">
        <v>908</v>
      </c>
      <c r="J755" s="26"/>
    </row>
    <row r="756" spans="1:10" x14ac:dyDescent="0.3">
      <c r="A756" s="10" t="s">
        <v>2044</v>
      </c>
      <c r="B756" s="10" t="s">
        <v>2008</v>
      </c>
      <c r="C756" s="10" t="s">
        <v>9400</v>
      </c>
      <c r="D756" s="10" t="s">
        <v>5866</v>
      </c>
      <c r="E756" s="10" t="s">
        <v>6914</v>
      </c>
      <c r="F756" s="10" t="s">
        <v>1648</v>
      </c>
      <c r="G756" s="10" t="s">
        <v>2361</v>
      </c>
      <c r="H756" s="10" t="s">
        <v>5870</v>
      </c>
      <c r="I756" s="10"/>
      <c r="J756" s="10"/>
    </row>
    <row r="757" spans="1:10" x14ac:dyDescent="0.3">
      <c r="A757" s="10" t="s">
        <v>1837</v>
      </c>
      <c r="B757" s="10" t="s">
        <v>1829</v>
      </c>
      <c r="C757" s="10" t="s">
        <v>73</v>
      </c>
      <c r="D757" s="10" t="s">
        <v>7374</v>
      </c>
      <c r="E757" s="10" t="s">
        <v>1406</v>
      </c>
      <c r="F757" s="10"/>
      <c r="G757" s="10"/>
      <c r="H757" s="10"/>
      <c r="I757" s="10"/>
      <c r="J757" s="10"/>
    </row>
    <row r="758" spans="1:10" x14ac:dyDescent="0.35">
      <c r="A758" s="26" t="s">
        <v>5049</v>
      </c>
      <c r="B758" s="27" t="s">
        <v>2545</v>
      </c>
      <c r="C758" s="27" t="s">
        <v>3159</v>
      </c>
      <c r="D758" s="27" t="s">
        <v>3151</v>
      </c>
      <c r="E758" s="27" t="s">
        <v>6958</v>
      </c>
      <c r="F758" s="26" t="s">
        <v>7501</v>
      </c>
      <c r="G758" s="26" t="s">
        <v>3144</v>
      </c>
    </row>
    <row r="759" spans="1:10" s="10" customFormat="1" x14ac:dyDescent="0.3">
      <c r="A759" s="10" t="s">
        <v>3124</v>
      </c>
      <c r="B759" s="34" t="s">
        <v>7594</v>
      </c>
      <c r="C759" s="10" t="s">
        <v>1021</v>
      </c>
      <c r="D759" s="34" t="s">
        <v>1013</v>
      </c>
      <c r="E759" s="10" t="s">
        <v>5905</v>
      </c>
      <c r="F759" s="34" t="s">
        <v>2357</v>
      </c>
    </row>
    <row r="760" spans="1:10" x14ac:dyDescent="0.3">
      <c r="A760" s="26" t="s">
        <v>5057</v>
      </c>
      <c r="B760" s="26" t="s">
        <v>6368</v>
      </c>
      <c r="C760" s="26" t="s">
        <v>5951</v>
      </c>
      <c r="D760" s="26" t="s">
        <v>4622</v>
      </c>
      <c r="E760" s="26" t="s">
        <v>2156</v>
      </c>
      <c r="F760" s="26" t="s">
        <v>1474</v>
      </c>
      <c r="G760" s="26" t="s">
        <v>1478</v>
      </c>
      <c r="H760" s="26" t="s">
        <v>2292</v>
      </c>
      <c r="I760" s="26" t="s">
        <v>4784</v>
      </c>
      <c r="J760" s="26" t="s">
        <v>6123</v>
      </c>
    </row>
    <row r="761" spans="1:10" x14ac:dyDescent="0.3">
      <c r="A761" s="26" t="s">
        <v>5061</v>
      </c>
      <c r="B761" s="26" t="s">
        <v>2044</v>
      </c>
      <c r="C761" s="26" t="s">
        <v>5583</v>
      </c>
      <c r="D761" s="26" t="s">
        <v>1581</v>
      </c>
      <c r="E761" s="26" t="s">
        <v>6252</v>
      </c>
    </row>
    <row r="762" spans="1:10" x14ac:dyDescent="0.3">
      <c r="A762" s="10" t="s">
        <v>2768</v>
      </c>
      <c r="B762" s="10" t="s">
        <v>2119</v>
      </c>
      <c r="C762" s="10" t="s">
        <v>2115</v>
      </c>
      <c r="D762" s="10" t="s">
        <v>5326</v>
      </c>
      <c r="E762" s="10" t="s">
        <v>702</v>
      </c>
      <c r="F762" s="10" t="s">
        <v>2762</v>
      </c>
      <c r="G762" s="34" t="s">
        <v>767</v>
      </c>
      <c r="H762" s="10" t="s">
        <v>2765</v>
      </c>
      <c r="I762" s="10" t="s">
        <v>5071</v>
      </c>
      <c r="J762" s="10" t="s">
        <v>9654</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6322</v>
      </c>
      <c r="B764" s="26" t="s">
        <v>6216</v>
      </c>
      <c r="C764" s="26" t="s">
        <v>5282</v>
      </c>
      <c r="D764" s="26" t="s">
        <v>6958</v>
      </c>
      <c r="E764" s="26" t="s">
        <v>4757</v>
      </c>
      <c r="F764" s="26" t="s">
        <v>2264</v>
      </c>
    </row>
    <row r="765" spans="1:10" s="10" customFormat="1" x14ac:dyDescent="0.3">
      <c r="A765" s="26" t="s">
        <v>6330</v>
      </c>
      <c r="B765" s="26" t="s">
        <v>5726</v>
      </c>
      <c r="C765" s="26" t="s">
        <v>4129</v>
      </c>
      <c r="D765" s="26" t="s">
        <v>2156</v>
      </c>
      <c r="E765" s="26" t="s">
        <v>2889</v>
      </c>
      <c r="F765" s="26" t="s">
        <v>2272</v>
      </c>
      <c r="G765" s="26" t="s">
        <v>6368</v>
      </c>
      <c r="H765" s="26" t="s">
        <v>1474</v>
      </c>
      <c r="I765" s="26" t="s">
        <v>1478</v>
      </c>
      <c r="J765" s="26"/>
    </row>
    <row r="766" spans="1:10" s="10" customFormat="1" x14ac:dyDescent="0.35">
      <c r="A766" s="26" t="s">
        <v>6334</v>
      </c>
      <c r="B766" s="27" t="s">
        <v>1718</v>
      </c>
      <c r="C766" s="26" t="s">
        <v>3813</v>
      </c>
      <c r="D766" s="26" t="s">
        <v>3857</v>
      </c>
      <c r="E766" s="26"/>
      <c r="F766" s="26"/>
      <c r="G766" s="27"/>
      <c r="H766" s="26"/>
      <c r="I766" s="26"/>
      <c r="J766" s="26"/>
    </row>
    <row r="767" spans="1:10" x14ac:dyDescent="0.3">
      <c r="A767" s="26" t="s">
        <v>6338</v>
      </c>
      <c r="B767" s="26" t="s">
        <v>4738</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4770</v>
      </c>
      <c r="C769" s="10" t="s">
        <v>912</v>
      </c>
      <c r="D769" s="10" t="s">
        <v>908</v>
      </c>
      <c r="E769" s="10" t="s">
        <v>880</v>
      </c>
    </row>
    <row r="770" spans="1:10" x14ac:dyDescent="0.35">
      <c r="A770" s="26" t="s">
        <v>5065</v>
      </c>
      <c r="B770" s="24" t="s">
        <v>2390</v>
      </c>
      <c r="C770" s="26" t="s">
        <v>4369</v>
      </c>
      <c r="D770" s="26" t="s">
        <v>3946</v>
      </c>
      <c r="E770" s="26" t="s">
        <v>3548</v>
      </c>
      <c r="F770" s="26" t="s">
        <v>6914</v>
      </c>
    </row>
    <row r="771" spans="1:10" x14ac:dyDescent="0.35">
      <c r="A771" s="26" t="s">
        <v>6343</v>
      </c>
      <c r="B771" s="26" t="s">
        <v>5603</v>
      </c>
      <c r="C771" s="27" t="s">
        <v>69</v>
      </c>
      <c r="D771" s="27" t="s">
        <v>4936</v>
      </c>
      <c r="E771" s="26" t="s">
        <v>4980</v>
      </c>
      <c r="F771" s="26" t="s">
        <v>6922</v>
      </c>
      <c r="G771" s="26" t="s">
        <v>3458</v>
      </c>
      <c r="H771" s="26" t="s">
        <v>6269</v>
      </c>
      <c r="I771" s="26" t="s">
        <v>6314</v>
      </c>
      <c r="J771" s="26" t="s">
        <v>9619</v>
      </c>
    </row>
    <row r="772" spans="1:10" x14ac:dyDescent="0.3">
      <c r="A772" s="10" t="s">
        <v>1279</v>
      </c>
      <c r="B772" s="10" t="s">
        <v>1169</v>
      </c>
      <c r="C772" s="10" t="s">
        <v>6373</v>
      </c>
      <c r="D772" s="10" t="s">
        <v>4745</v>
      </c>
      <c r="E772" s="10" t="s">
        <v>3753</v>
      </c>
      <c r="F772" s="10" t="s">
        <v>7641</v>
      </c>
      <c r="G772" s="10"/>
      <c r="H772" s="10"/>
      <c r="I772" s="10"/>
      <c r="J772" s="10"/>
    </row>
    <row r="773" spans="1:10" x14ac:dyDescent="0.35">
      <c r="A773" s="26" t="s">
        <v>3147</v>
      </c>
      <c r="B773" s="27" t="s">
        <v>3163</v>
      </c>
      <c r="C773" s="27" t="s">
        <v>6322</v>
      </c>
      <c r="D773" s="27" t="s">
        <v>3168</v>
      </c>
      <c r="E773" s="26" t="s">
        <v>1678</v>
      </c>
      <c r="F773" s="26" t="s">
        <v>6958</v>
      </c>
    </row>
    <row r="774" spans="1:10" x14ac:dyDescent="0.3">
      <c r="A774" s="26" t="s">
        <v>3393</v>
      </c>
      <c r="B774" s="26" t="s">
        <v>2317</v>
      </c>
      <c r="C774" s="26" t="s">
        <v>3345</v>
      </c>
      <c r="D774" s="26" t="s">
        <v>7477</v>
      </c>
      <c r="E774" s="26" t="s">
        <v>6985</v>
      </c>
      <c r="F774" s="26" t="s">
        <v>3966</v>
      </c>
    </row>
    <row r="775" spans="1:10" x14ac:dyDescent="0.3">
      <c r="A775" s="26" t="s">
        <v>6351</v>
      </c>
      <c r="B775" s="26" t="s">
        <v>4894</v>
      </c>
      <c r="C775" s="26" t="s">
        <v>1372</v>
      </c>
      <c r="D775" s="26" t="s">
        <v>1376</v>
      </c>
      <c r="E775" s="26" t="s">
        <v>9653</v>
      </c>
      <c r="F775" s="26" t="s">
        <v>1383</v>
      </c>
      <c r="G775" s="26" t="s">
        <v>1368</v>
      </c>
    </row>
    <row r="776" spans="1:10" x14ac:dyDescent="0.35">
      <c r="A776" s="26" t="s">
        <v>5071</v>
      </c>
      <c r="B776" s="26" t="s">
        <v>6475</v>
      </c>
      <c r="C776" s="26" t="s">
        <v>2779</v>
      </c>
      <c r="D776" s="26" t="s">
        <v>2783</v>
      </c>
      <c r="E776" s="26" t="s">
        <v>1678</v>
      </c>
      <c r="F776" s="24" t="s">
        <v>2569</v>
      </c>
      <c r="G776" s="26" t="s">
        <v>9654</v>
      </c>
    </row>
    <row r="777" spans="1:10" x14ac:dyDescent="0.3">
      <c r="A777" s="26" t="s">
        <v>7302</v>
      </c>
      <c r="B777" s="26" t="s">
        <v>1703</v>
      </c>
      <c r="C777" s="26" t="s">
        <v>2721</v>
      </c>
      <c r="D777" s="26" t="s">
        <v>29</v>
      </c>
    </row>
    <row r="778" spans="1:10" x14ac:dyDescent="0.3">
      <c r="A778" s="26" t="s">
        <v>916</v>
      </c>
      <c r="B778" s="26" t="s">
        <v>4770</v>
      </c>
      <c r="C778" s="26" t="s">
        <v>912</v>
      </c>
      <c r="D778" s="26" t="s">
        <v>4956</v>
      </c>
    </row>
    <row r="779" spans="1:10" x14ac:dyDescent="0.3">
      <c r="A779" s="26" t="s">
        <v>5075</v>
      </c>
      <c r="B779" s="26" t="s">
        <v>3865</v>
      </c>
      <c r="C779" s="26" t="s">
        <v>6067</v>
      </c>
    </row>
    <row r="780" spans="1:10" s="10" customFormat="1" x14ac:dyDescent="0.35">
      <c r="A780" s="26" t="s">
        <v>6356</v>
      </c>
      <c r="B780" s="26" t="s">
        <v>5837</v>
      </c>
      <c r="C780" s="27" t="s">
        <v>2119</v>
      </c>
      <c r="D780" s="26" t="s">
        <v>2115</v>
      </c>
      <c r="E780" s="26"/>
      <c r="F780" s="26"/>
      <c r="G780" s="26"/>
      <c r="H780" s="26"/>
      <c r="I780" s="26"/>
      <c r="J780" s="26"/>
    </row>
    <row r="781" spans="1:10" x14ac:dyDescent="0.35">
      <c r="A781" s="26" t="s">
        <v>6364</v>
      </c>
      <c r="B781" s="24" t="s">
        <v>2575</v>
      </c>
      <c r="C781" s="26" t="s">
        <v>5490</v>
      </c>
      <c r="D781" s="26" t="s">
        <v>2384</v>
      </c>
      <c r="E781" s="26" t="s">
        <v>5532</v>
      </c>
      <c r="F781" s="26" t="s">
        <v>6256</v>
      </c>
      <c r="G781" s="26" t="s">
        <v>3831</v>
      </c>
      <c r="H781" s="26" t="s">
        <v>4121</v>
      </c>
    </row>
    <row r="782" spans="1:10" x14ac:dyDescent="0.3">
      <c r="A782" s="26" t="s">
        <v>1327</v>
      </c>
      <c r="B782" s="26" t="s">
        <v>1169</v>
      </c>
      <c r="C782" s="26" t="s">
        <v>2820</v>
      </c>
      <c r="D782" s="26" t="s">
        <v>9400</v>
      </c>
      <c r="E782" s="26" t="s">
        <v>1842</v>
      </c>
    </row>
    <row r="783" spans="1:10" s="10" customFormat="1" x14ac:dyDescent="0.3">
      <c r="A783" s="10" t="s">
        <v>1558</v>
      </c>
      <c r="B783" s="10" t="s">
        <v>702</v>
      </c>
      <c r="C783" s="10" t="s">
        <v>5905</v>
      </c>
      <c r="D783" s="10" t="s">
        <v>1678</v>
      </c>
      <c r="E783" s="10" t="s">
        <v>3548</v>
      </c>
      <c r="F783" s="10" t="s">
        <v>733</v>
      </c>
      <c r="G783" s="10" t="s">
        <v>2580</v>
      </c>
    </row>
    <row r="784" spans="1:10" s="10" customFormat="1" x14ac:dyDescent="0.3">
      <c r="A784" s="26" t="s">
        <v>5079</v>
      </c>
      <c r="B784" s="26" t="s">
        <v>5557</v>
      </c>
      <c r="C784" s="26"/>
      <c r="D784" s="26"/>
      <c r="E784" s="26"/>
      <c r="F784" s="26"/>
      <c r="G784" s="26"/>
      <c r="H784" s="26"/>
      <c r="I784" s="26"/>
      <c r="J784" s="26"/>
    </row>
    <row r="785" spans="1:10" x14ac:dyDescent="0.3">
      <c r="A785" s="26" t="s">
        <v>5083</v>
      </c>
      <c r="B785" s="26" t="s">
        <v>6715</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6377</v>
      </c>
      <c r="E787" s="10" t="s">
        <v>4600</v>
      </c>
      <c r="F787" s="10" t="s">
        <v>249</v>
      </c>
      <c r="G787" s="10" t="s">
        <v>976</v>
      </c>
      <c r="H787" s="10" t="s">
        <v>3831</v>
      </c>
      <c r="I787" s="10" t="s">
        <v>3176</v>
      </c>
      <c r="J787" s="10" t="s">
        <v>3180</v>
      </c>
    </row>
    <row r="788" spans="1:10" x14ac:dyDescent="0.3">
      <c r="A788" s="26" t="s">
        <v>6373</v>
      </c>
      <c r="B788" s="26" t="s">
        <v>5108</v>
      </c>
      <c r="C788" s="26" t="s">
        <v>7639</v>
      </c>
      <c r="D788" s="26" t="s">
        <v>6160</v>
      </c>
      <c r="E788" s="26" t="s">
        <v>6922</v>
      </c>
      <c r="F788" s="26" t="s">
        <v>1648</v>
      </c>
      <c r="G788" s="26" t="s">
        <v>5870</v>
      </c>
      <c r="H788" s="26" t="s">
        <v>5575</v>
      </c>
      <c r="I788" s="26" t="s">
        <v>5866</v>
      </c>
    </row>
    <row r="789" spans="1:10" x14ac:dyDescent="0.3">
      <c r="A789" s="26" t="s">
        <v>1418</v>
      </c>
      <c r="B789" s="26" t="s">
        <v>1406</v>
      </c>
    </row>
    <row r="790" spans="1:10" x14ac:dyDescent="0.3">
      <c r="A790" s="10" t="s">
        <v>1669</v>
      </c>
      <c r="B790" s="10" t="s">
        <v>1661</v>
      </c>
      <c r="C790" s="10" t="s">
        <v>880</v>
      </c>
      <c r="D790" s="10" t="s">
        <v>4600</v>
      </c>
      <c r="E790" s="34" t="s">
        <v>2401</v>
      </c>
      <c r="F790" s="10" t="s">
        <v>7600</v>
      </c>
      <c r="G790" s="10"/>
      <c r="H790" s="10"/>
      <c r="I790" s="10"/>
      <c r="J790" s="10"/>
    </row>
    <row r="791" spans="1:10" x14ac:dyDescent="0.3">
      <c r="A791" s="26" t="s">
        <v>5087</v>
      </c>
      <c r="B791" s="26" t="s">
        <v>6487</v>
      </c>
      <c r="C791" s="26" t="s">
        <v>5528</v>
      </c>
      <c r="D791" s="26" t="s">
        <v>6023</v>
      </c>
    </row>
    <row r="792" spans="1:10" x14ac:dyDescent="0.35">
      <c r="A792" s="26" t="s">
        <v>6377</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5490</v>
      </c>
      <c r="I793" s="26" t="s">
        <v>3813</v>
      </c>
      <c r="J793" s="26" t="s">
        <v>3473</v>
      </c>
    </row>
    <row r="794" spans="1:10" x14ac:dyDescent="0.3">
      <c r="A794" s="26" t="s">
        <v>5091</v>
      </c>
      <c r="B794" s="26" t="s">
        <v>89</v>
      </c>
      <c r="C794" s="26" t="s">
        <v>6543</v>
      </c>
    </row>
    <row r="795" spans="1:10" x14ac:dyDescent="0.3">
      <c r="A795" s="26" t="s">
        <v>5094</v>
      </c>
      <c r="B795" s="26" t="s">
        <v>7307</v>
      </c>
      <c r="C795" s="26" t="s">
        <v>4049</v>
      </c>
      <c r="D795" s="26" t="s">
        <v>3775</v>
      </c>
      <c r="E795" s="26" t="s">
        <v>3780</v>
      </c>
    </row>
    <row r="796" spans="1:10" s="10" customFormat="1" x14ac:dyDescent="0.3">
      <c r="A796" s="26" t="s">
        <v>7314</v>
      </c>
      <c r="B796" s="26" t="s">
        <v>3559</v>
      </c>
      <c r="C796" s="26"/>
      <c r="D796" s="26"/>
      <c r="E796" s="26"/>
      <c r="F796" s="26"/>
      <c r="G796" s="26"/>
      <c r="H796" s="26"/>
      <c r="I796" s="26"/>
      <c r="J796" s="26"/>
    </row>
    <row r="797" spans="1:10" x14ac:dyDescent="0.35">
      <c r="A797" s="26" t="s">
        <v>674</v>
      </c>
      <c r="B797" s="27" t="s">
        <v>6560</v>
      </c>
      <c r="C797" s="27" t="s">
        <v>5259</v>
      </c>
      <c r="D797" s="26" t="s">
        <v>1051</v>
      </c>
      <c r="E797" s="26" t="s">
        <v>4065</v>
      </c>
      <c r="F797" s="26" t="s">
        <v>3588</v>
      </c>
      <c r="G797" s="26" t="s">
        <v>1981</v>
      </c>
      <c r="H797" s="26" t="s">
        <v>2820</v>
      </c>
      <c r="I797" s="26" t="s">
        <v>6876</v>
      </c>
      <c r="J797" s="26" t="s">
        <v>4857</v>
      </c>
    </row>
    <row r="798" spans="1:10" x14ac:dyDescent="0.3">
      <c r="A798" s="26" t="s">
        <v>6380</v>
      </c>
      <c r="B798" s="26" t="s">
        <v>5768</v>
      </c>
      <c r="C798" s="26" t="s">
        <v>3603</v>
      </c>
      <c r="D798" s="26" t="s">
        <v>7085</v>
      </c>
      <c r="E798" s="26" t="s">
        <v>7436</v>
      </c>
      <c r="F798" s="26" t="s">
        <v>5512</v>
      </c>
    </row>
    <row r="799" spans="1:10" s="10" customFormat="1" x14ac:dyDescent="0.3">
      <c r="A799" s="10" t="s">
        <v>2710</v>
      </c>
      <c r="B799" s="34" t="s">
        <v>2008</v>
      </c>
      <c r="C799" s="10" t="s">
        <v>2390</v>
      </c>
      <c r="D799" s="10" t="s">
        <v>5905</v>
      </c>
      <c r="E799" s="10" t="s">
        <v>6914</v>
      </c>
    </row>
    <row r="800" spans="1:10" x14ac:dyDescent="0.3">
      <c r="A800" s="26" t="s">
        <v>7316</v>
      </c>
      <c r="B800" s="26" t="s">
        <v>458</v>
      </c>
    </row>
    <row r="801" spans="1:10" s="10" customFormat="1" x14ac:dyDescent="0.3">
      <c r="A801" s="26" t="s">
        <v>5101</v>
      </c>
      <c r="B801" s="26" t="s">
        <v>1678</v>
      </c>
      <c r="C801" s="26" t="s">
        <v>3548</v>
      </c>
      <c r="D801" s="26"/>
      <c r="E801" s="26"/>
      <c r="F801" s="26"/>
      <c r="G801" s="26"/>
      <c r="H801" s="26"/>
      <c r="I801" s="26"/>
      <c r="J801" s="26"/>
    </row>
    <row r="802" spans="1:10" x14ac:dyDescent="0.3">
      <c r="A802" s="10" t="s">
        <v>1229</v>
      </c>
      <c r="B802" s="10" t="s">
        <v>1169</v>
      </c>
      <c r="C802" s="10" t="s">
        <v>2309</v>
      </c>
      <c r="D802" s="10" t="s">
        <v>4964</v>
      </c>
      <c r="E802" s="10" t="s">
        <v>3327</v>
      </c>
      <c r="F802" s="10"/>
      <c r="G802" s="10"/>
      <c r="H802" s="10"/>
      <c r="I802" s="10"/>
      <c r="J802" s="10"/>
    </row>
    <row r="803" spans="1:10" x14ac:dyDescent="0.35">
      <c r="A803" s="26" t="s">
        <v>6385</v>
      </c>
      <c r="B803" s="27" t="s">
        <v>4653</v>
      </c>
      <c r="C803" s="27" t="s">
        <v>3116</v>
      </c>
      <c r="D803" s="26" t="s">
        <v>6789</v>
      </c>
      <c r="E803" s="26" t="s">
        <v>3028</v>
      </c>
      <c r="F803" s="26" t="s">
        <v>29</v>
      </c>
      <c r="G803" s="27" t="s">
        <v>6602</v>
      </c>
      <c r="H803" s="26" t="s">
        <v>6731</v>
      </c>
      <c r="I803" s="26" t="s">
        <v>1723</v>
      </c>
      <c r="J803" s="26" t="s">
        <v>5316</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6008</v>
      </c>
      <c r="G805" s="26" t="s">
        <v>634</v>
      </c>
      <c r="H805" s="26" t="s">
        <v>4065</v>
      </c>
      <c r="I805" s="26" t="s">
        <v>3588</v>
      </c>
      <c r="J805" s="26" t="s">
        <v>7709</v>
      </c>
    </row>
    <row r="806" spans="1:10" s="10" customFormat="1" x14ac:dyDescent="0.35">
      <c r="A806" s="26" t="s">
        <v>6389</v>
      </c>
      <c r="B806" s="27" t="s">
        <v>3705</v>
      </c>
      <c r="C806" s="26" t="s">
        <v>6398</v>
      </c>
      <c r="D806" s="26" t="s">
        <v>6650</v>
      </c>
      <c r="E806" s="26" t="s">
        <v>5372</v>
      </c>
      <c r="F806" s="26" t="s">
        <v>832</v>
      </c>
      <c r="G806" s="26" t="s">
        <v>666</v>
      </c>
      <c r="H806" s="26" t="s">
        <v>6552</v>
      </c>
      <c r="I806" s="26" t="s">
        <v>6432</v>
      </c>
      <c r="J806" s="26" t="s">
        <v>553</v>
      </c>
    </row>
    <row r="807" spans="1:10" s="10" customFormat="1" x14ac:dyDescent="0.3">
      <c r="A807" s="26" t="s">
        <v>3128</v>
      </c>
      <c r="B807" s="26" t="s">
        <v>3140</v>
      </c>
      <c r="C807" s="26" t="s">
        <v>7594</v>
      </c>
      <c r="D807" s="26" t="s">
        <v>4205</v>
      </c>
      <c r="E807" s="26" t="s">
        <v>3120</v>
      </c>
      <c r="F807" s="26"/>
      <c r="G807" s="26"/>
      <c r="H807" s="26"/>
      <c r="I807" s="26"/>
      <c r="J807" s="26"/>
    </row>
    <row r="808" spans="1:10" x14ac:dyDescent="0.35">
      <c r="A808" s="26" t="s">
        <v>6398</v>
      </c>
      <c r="B808" s="27" t="s">
        <v>6389</v>
      </c>
      <c r="C808" s="27" t="s">
        <v>666</v>
      </c>
      <c r="D808" s="27" t="s">
        <v>5372</v>
      </c>
      <c r="E808" s="27" t="s">
        <v>553</v>
      </c>
      <c r="F808" s="26" t="s">
        <v>6432</v>
      </c>
    </row>
    <row r="809" spans="1:10" x14ac:dyDescent="0.3">
      <c r="A809" s="10" t="s">
        <v>6404</v>
      </c>
      <c r="B809" s="10" t="s">
        <v>6067</v>
      </c>
      <c r="C809" s="10" t="s">
        <v>3865</v>
      </c>
      <c r="D809" s="10" t="s">
        <v>5713</v>
      </c>
      <c r="E809" s="10" t="s">
        <v>2119</v>
      </c>
      <c r="F809" s="10" t="s">
        <v>2115</v>
      </c>
      <c r="G809" s="10"/>
      <c r="H809" s="10"/>
      <c r="I809" s="10"/>
      <c r="J809" s="10"/>
    </row>
    <row r="810" spans="1:10" s="10" customFormat="1" x14ac:dyDescent="0.3">
      <c r="A810" s="10" t="s">
        <v>1335</v>
      </c>
      <c r="B810" s="10" t="s">
        <v>2580</v>
      </c>
      <c r="C810" s="10" t="s">
        <v>3321</v>
      </c>
      <c r="D810" s="10" t="s">
        <v>5105</v>
      </c>
      <c r="E810" s="10" t="s">
        <v>6914</v>
      </c>
      <c r="F810" s="10" t="s">
        <v>3548</v>
      </c>
    </row>
    <row r="811" spans="1:10" x14ac:dyDescent="0.3">
      <c r="A811" s="26" t="s">
        <v>5105</v>
      </c>
      <c r="B811" s="26" t="s">
        <v>4454</v>
      </c>
      <c r="C811" s="26" t="s">
        <v>5437</v>
      </c>
      <c r="D811" s="26" t="s">
        <v>1335</v>
      </c>
    </row>
    <row r="812" spans="1:10" s="10" customFormat="1" x14ac:dyDescent="0.35">
      <c r="A812" s="26" t="s">
        <v>5108</v>
      </c>
      <c r="B812" s="26" t="s">
        <v>6172</v>
      </c>
      <c r="C812" s="27" t="s">
        <v>6373</v>
      </c>
      <c r="D812" s="27" t="s">
        <v>832</v>
      </c>
      <c r="E812" s="27" t="s">
        <v>6642</v>
      </c>
      <c r="F812" s="26" t="s">
        <v>782</v>
      </c>
      <c r="G812" s="26" t="s">
        <v>3144</v>
      </c>
      <c r="H812" s="26" t="s">
        <v>7639</v>
      </c>
      <c r="I812" s="26" t="s">
        <v>6160</v>
      </c>
      <c r="J812" s="26"/>
    </row>
    <row r="813" spans="1:10" x14ac:dyDescent="0.3">
      <c r="A813" s="10" t="s">
        <v>1744</v>
      </c>
      <c r="B813" s="10" t="s">
        <v>7584</v>
      </c>
      <c r="C813" s="10" t="s">
        <v>324</v>
      </c>
      <c r="D813" s="10"/>
      <c r="E813" s="10"/>
      <c r="F813" s="10"/>
      <c r="G813" s="10"/>
      <c r="H813" s="10"/>
      <c r="I813" s="10"/>
      <c r="J813" s="10"/>
    </row>
    <row r="814" spans="1:10" x14ac:dyDescent="0.35">
      <c r="A814" s="29" t="s">
        <v>7331</v>
      </c>
      <c r="B814" s="24"/>
    </row>
    <row r="815" spans="1:10" x14ac:dyDescent="0.3">
      <c r="A815" s="10" t="s">
        <v>782</v>
      </c>
      <c r="B815" s="10" t="s">
        <v>702</v>
      </c>
      <c r="C815" s="10" t="s">
        <v>786</v>
      </c>
      <c r="D815" s="34" t="s">
        <v>6914</v>
      </c>
      <c r="E815" s="10" t="s">
        <v>746</v>
      </c>
      <c r="F815" s="10" t="s">
        <v>750</v>
      </c>
      <c r="G815" s="34" t="s">
        <v>756</v>
      </c>
      <c r="H815" s="10" t="s">
        <v>835</v>
      </c>
      <c r="I815" s="10"/>
      <c r="J815" s="10"/>
    </row>
    <row r="816" spans="1:10" x14ac:dyDescent="0.35">
      <c r="A816" s="26" t="s">
        <v>6412</v>
      </c>
      <c r="B816" s="26" t="s">
        <v>2264</v>
      </c>
      <c r="C816" s="27" t="s">
        <v>2264</v>
      </c>
      <c r="D816" s="27" t="s">
        <v>6622</v>
      </c>
      <c r="E816" s="26" t="s">
        <v>4237</v>
      </c>
    </row>
    <row r="817" spans="1:10" s="10" customFormat="1" x14ac:dyDescent="0.3">
      <c r="A817" s="26" t="s">
        <v>6416</v>
      </c>
      <c r="B817" s="26" t="s">
        <v>6572</v>
      </c>
      <c r="C817" s="26" t="s">
        <v>702</v>
      </c>
      <c r="D817" s="26" t="s">
        <v>7608</v>
      </c>
      <c r="E817" s="26" t="s">
        <v>3734</v>
      </c>
      <c r="F817" s="26"/>
      <c r="G817" s="26"/>
      <c r="H817" s="26"/>
      <c r="I817" s="26"/>
      <c r="J817" s="26"/>
    </row>
    <row r="818" spans="1:10" s="10" customFormat="1" x14ac:dyDescent="0.35">
      <c r="A818" s="26" t="s">
        <v>5112</v>
      </c>
      <c r="B818" s="26" t="s">
        <v>5049</v>
      </c>
      <c r="C818" s="24" t="s">
        <v>2545</v>
      </c>
      <c r="D818" s="26" t="s">
        <v>6958</v>
      </c>
      <c r="E818" s="26" t="s">
        <v>2768</v>
      </c>
      <c r="F818" s="26" t="s">
        <v>3210</v>
      </c>
      <c r="G818" s="26" t="s">
        <v>802</v>
      </c>
      <c r="H818" s="26" t="s">
        <v>808</v>
      </c>
      <c r="I818" s="26" t="s">
        <v>7501</v>
      </c>
      <c r="J818" s="26"/>
    </row>
    <row r="819" spans="1:10" x14ac:dyDescent="0.3">
      <c r="A819" s="26" t="s">
        <v>1973</v>
      </c>
      <c r="B819" s="26" t="s">
        <v>607</v>
      </c>
      <c r="C819" s="26" t="s">
        <v>9683</v>
      </c>
      <c r="D819" s="26" t="s">
        <v>4065</v>
      </c>
      <c r="E819" s="26" t="s">
        <v>6289</v>
      </c>
    </row>
    <row r="820" spans="1:10" x14ac:dyDescent="0.3">
      <c r="A820" s="10" t="s">
        <v>526</v>
      </c>
      <c r="B820" s="10" t="s">
        <v>458</v>
      </c>
      <c r="C820" s="10" t="s">
        <v>544</v>
      </c>
      <c r="D820" s="10" t="s">
        <v>514</v>
      </c>
      <c r="E820" s="10" t="s">
        <v>531</v>
      </c>
      <c r="F820" s="10" t="s">
        <v>5698</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6424</v>
      </c>
      <c r="B822" s="26" t="s">
        <v>5429</v>
      </c>
      <c r="C822" s="26" t="s">
        <v>4800</v>
      </c>
    </row>
    <row r="823" spans="1:10" x14ac:dyDescent="0.35">
      <c r="A823" s="26" t="s">
        <v>5116</v>
      </c>
      <c r="B823" s="27" t="s">
        <v>6560</v>
      </c>
      <c r="C823" s="27" t="s">
        <v>6876</v>
      </c>
      <c r="D823" s="26" t="s">
        <v>6614</v>
      </c>
      <c r="E823" s="26" t="s">
        <v>6483</v>
      </c>
      <c r="F823" s="26" t="s">
        <v>4857</v>
      </c>
      <c r="G823" s="26" t="s">
        <v>6035</v>
      </c>
      <c r="H823" s="26" t="s">
        <v>5482</v>
      </c>
      <c r="I823" s="26" t="s">
        <v>6075</v>
      </c>
      <c r="J823" s="24" t="s">
        <v>2569</v>
      </c>
    </row>
    <row r="824" spans="1:10" x14ac:dyDescent="0.3">
      <c r="A824" s="26" t="s">
        <v>5124</v>
      </c>
      <c r="B824" s="26" t="s">
        <v>1750</v>
      </c>
      <c r="C824" s="26" t="s">
        <v>4472</v>
      </c>
      <c r="D824" s="26" t="s">
        <v>3434</v>
      </c>
      <c r="E824" s="26" t="s">
        <v>3028</v>
      </c>
      <c r="F824" s="26" t="s">
        <v>2721</v>
      </c>
      <c r="G824" s="26" t="s">
        <v>29</v>
      </c>
      <c r="H824" s="26" t="s">
        <v>7584</v>
      </c>
      <c r="I824" s="26" t="s">
        <v>7358</v>
      </c>
    </row>
    <row r="825" spans="1:10" s="10" customFormat="1" x14ac:dyDescent="0.3">
      <c r="A825" s="26" t="s">
        <v>5132</v>
      </c>
      <c r="B825" s="26" t="s">
        <v>6475</v>
      </c>
      <c r="C825" s="26" t="s">
        <v>69</v>
      </c>
      <c r="D825" s="26" t="s">
        <v>3831</v>
      </c>
      <c r="E825" s="26" t="s">
        <v>5536</v>
      </c>
      <c r="F825" s="26" t="s">
        <v>3939</v>
      </c>
      <c r="G825" s="26"/>
      <c r="H825" s="26"/>
      <c r="I825" s="26"/>
      <c r="J825" s="26"/>
    </row>
    <row r="826" spans="1:10" x14ac:dyDescent="0.35">
      <c r="A826" s="26" t="s">
        <v>6432</v>
      </c>
      <c r="B826" s="27" t="s">
        <v>6389</v>
      </c>
      <c r="C826" s="27" t="s">
        <v>5504</v>
      </c>
      <c r="D826" s="27" t="s">
        <v>5372</v>
      </c>
      <c r="E826" s="26" t="s">
        <v>553</v>
      </c>
      <c r="F826" s="26" t="s">
        <v>569</v>
      </c>
    </row>
    <row r="827" spans="1:10" x14ac:dyDescent="0.35">
      <c r="A827" s="26" t="s">
        <v>6440</v>
      </c>
      <c r="B827" s="27" t="s">
        <v>6104</v>
      </c>
      <c r="C827" s="24" t="s">
        <v>1430</v>
      </c>
      <c r="D827" s="27"/>
      <c r="E827" s="27"/>
    </row>
    <row r="828" spans="1:10" x14ac:dyDescent="0.3">
      <c r="A828" s="10" t="s">
        <v>1029</v>
      </c>
      <c r="B828" s="10" t="s">
        <v>7594</v>
      </c>
      <c r="C828" s="10" t="s">
        <v>324</v>
      </c>
      <c r="D828" s="10" t="s">
        <v>1037</v>
      </c>
      <c r="E828" s="10" t="s">
        <v>1051</v>
      </c>
      <c r="F828" s="10" t="s">
        <v>1060</v>
      </c>
      <c r="G828" s="34" t="s">
        <v>1032</v>
      </c>
      <c r="H828" s="10"/>
      <c r="I828" s="10"/>
      <c r="J828" s="10"/>
    </row>
    <row r="829" spans="1:10" x14ac:dyDescent="0.3">
      <c r="A829" s="26" t="s">
        <v>6444</v>
      </c>
      <c r="B829" s="26" t="s">
        <v>3865</v>
      </c>
      <c r="C829" s="26" t="s">
        <v>6067</v>
      </c>
      <c r="D829" s="26" t="s">
        <v>5713</v>
      </c>
      <c r="E829" s="26" t="s">
        <v>6404</v>
      </c>
      <c r="F829" s="26" t="s">
        <v>5912</v>
      </c>
      <c r="G829" s="26" t="s">
        <v>6824</v>
      </c>
      <c r="H829" s="26" t="s">
        <v>6772</v>
      </c>
      <c r="I829" s="26" t="s">
        <v>6222</v>
      </c>
      <c r="J829" s="26" t="s">
        <v>4697</v>
      </c>
    </row>
    <row r="830" spans="1:10" x14ac:dyDescent="0.3">
      <c r="A830" s="26" t="s">
        <v>6451</v>
      </c>
      <c r="B830" s="26" t="s">
        <v>2390</v>
      </c>
      <c r="C830" s="26" t="s">
        <v>7764</v>
      </c>
      <c r="D830" s="26" t="s">
        <v>5753</v>
      </c>
      <c r="E830" s="26" t="s">
        <v>1669</v>
      </c>
      <c r="F830" s="26" t="s">
        <v>6035</v>
      </c>
      <c r="G830" s="26" t="s">
        <v>5482</v>
      </c>
      <c r="H830" s="26" t="s">
        <v>6560</v>
      </c>
      <c r="I830" s="26" t="s">
        <v>4857</v>
      </c>
    </row>
    <row r="831" spans="1:10" x14ac:dyDescent="0.3">
      <c r="A831" s="26" t="s">
        <v>7339</v>
      </c>
      <c r="B831" s="26" t="s">
        <v>2390</v>
      </c>
      <c r="C831" s="26" t="s">
        <v>7764</v>
      </c>
      <c r="D831" s="26" t="s">
        <v>5753</v>
      </c>
    </row>
    <row r="832" spans="1:10" x14ac:dyDescent="0.35">
      <c r="A832" s="26" t="s">
        <v>6459</v>
      </c>
      <c r="B832" s="26" t="s">
        <v>5693</v>
      </c>
      <c r="C832" s="26" t="s">
        <v>6684</v>
      </c>
      <c r="D832" s="27" t="s">
        <v>416</v>
      </c>
      <c r="E832" s="26" t="s">
        <v>2256</v>
      </c>
      <c r="F832" s="26" t="s">
        <v>4894</v>
      </c>
    </row>
    <row r="833" spans="1:10" x14ac:dyDescent="0.3">
      <c r="A833" s="26" t="s">
        <v>5140</v>
      </c>
    </row>
    <row r="834" spans="1:10" s="10" customFormat="1" x14ac:dyDescent="0.35">
      <c r="A834" s="26" t="s">
        <v>6467</v>
      </c>
      <c r="B834" s="26" t="s">
        <v>702</v>
      </c>
      <c r="C834" s="26" t="s">
        <v>828</v>
      </c>
      <c r="D834" s="26" t="s">
        <v>750</v>
      </c>
      <c r="E834" s="26" t="s">
        <v>756</v>
      </c>
      <c r="F834" s="26" t="s">
        <v>753</v>
      </c>
      <c r="G834" s="26" t="s">
        <v>3257</v>
      </c>
      <c r="H834" s="24" t="s">
        <v>3253</v>
      </c>
      <c r="I834" s="24" t="s">
        <v>2325</v>
      </c>
      <c r="J834" s="26"/>
    </row>
    <row r="835" spans="1:10" s="10" customFormat="1" x14ac:dyDescent="0.35">
      <c r="A835" s="26" t="s">
        <v>6475</v>
      </c>
      <c r="B835" s="26" t="s">
        <v>4645</v>
      </c>
      <c r="C835" s="27" t="s">
        <v>5807</v>
      </c>
      <c r="D835" s="27" t="s">
        <v>6572</v>
      </c>
      <c r="E835" s="27" t="s">
        <v>7617</v>
      </c>
      <c r="F835" s="26" t="s">
        <v>5071</v>
      </c>
      <c r="G835" s="26" t="s">
        <v>3159</v>
      </c>
      <c r="H835" s="26"/>
      <c r="I835" s="26"/>
      <c r="J835" s="26"/>
    </row>
    <row r="836" spans="1:10" x14ac:dyDescent="0.3">
      <c r="A836" s="26" t="s">
        <v>1919</v>
      </c>
      <c r="B836" s="26" t="s">
        <v>5807</v>
      </c>
      <c r="C836" s="26" t="s">
        <v>1927</v>
      </c>
    </row>
    <row r="837" spans="1:10" x14ac:dyDescent="0.3">
      <c r="A837" s="10" t="s">
        <v>3373</v>
      </c>
      <c r="B837" s="10" t="s">
        <v>34</v>
      </c>
      <c r="C837" s="10" t="s">
        <v>3378</v>
      </c>
      <c r="D837" s="34" t="s">
        <v>4857</v>
      </c>
      <c r="E837" s="10"/>
      <c r="F837" s="10"/>
      <c r="G837" s="10"/>
      <c r="H837" s="10"/>
      <c r="I837" s="10"/>
      <c r="J837" s="10"/>
    </row>
    <row r="838" spans="1:10" s="10" customFormat="1" x14ac:dyDescent="0.3">
      <c r="A838" s="10" t="s">
        <v>2020</v>
      </c>
      <c r="B838" s="10" t="s">
        <v>1842</v>
      </c>
      <c r="C838" s="10" t="s">
        <v>2357</v>
      </c>
      <c r="D838" s="34" t="s">
        <v>2636</v>
      </c>
      <c r="E838" s="10" t="s">
        <v>5866</v>
      </c>
      <c r="F838" s="10" t="s">
        <v>6914</v>
      </c>
      <c r="G838" s="10" t="s">
        <v>1648</v>
      </c>
      <c r="H838" s="10" t="s">
        <v>5870</v>
      </c>
    </row>
    <row r="839" spans="1:10" x14ac:dyDescent="0.35">
      <c r="A839" s="26" t="s">
        <v>6483</v>
      </c>
      <c r="B839" s="26" t="s">
        <v>5490</v>
      </c>
      <c r="C839" s="26" t="s">
        <v>670</v>
      </c>
      <c r="D839" s="26" t="s">
        <v>3903</v>
      </c>
      <c r="E839" s="26" t="s">
        <v>5116</v>
      </c>
      <c r="F839" s="27" t="s">
        <v>6614</v>
      </c>
      <c r="G839" s="26" t="s">
        <v>6560</v>
      </c>
      <c r="H839" s="26" t="s">
        <v>4857</v>
      </c>
      <c r="I839" s="26" t="s">
        <v>6035</v>
      </c>
      <c r="J839" s="26" t="s">
        <v>5482</v>
      </c>
    </row>
    <row r="840" spans="1:10" s="10" customFormat="1" x14ac:dyDescent="0.35">
      <c r="A840" s="26" t="s">
        <v>1021</v>
      </c>
      <c r="B840" s="26" t="s">
        <v>7594</v>
      </c>
      <c r="C840" s="27" t="s">
        <v>9513</v>
      </c>
      <c r="D840" s="27" t="s">
        <v>1025</v>
      </c>
      <c r="E840" s="27" t="s">
        <v>2124</v>
      </c>
      <c r="F840" s="27" t="s">
        <v>1077</v>
      </c>
      <c r="G840" s="27" t="s">
        <v>1013</v>
      </c>
      <c r="H840" s="26"/>
      <c r="I840" s="26"/>
      <c r="J840" s="26"/>
    </row>
    <row r="841" spans="1:10" x14ac:dyDescent="0.3">
      <c r="A841" s="19" t="s">
        <v>972</v>
      </c>
      <c r="B841" s="10" t="s">
        <v>3195</v>
      </c>
      <c r="C841" s="10" t="s">
        <v>880</v>
      </c>
      <c r="D841" s="10" t="s">
        <v>6758</v>
      </c>
      <c r="E841" s="10" t="s">
        <v>1669</v>
      </c>
      <c r="F841" s="10" t="s">
        <v>976</v>
      </c>
      <c r="G841" s="10"/>
      <c r="H841" s="10"/>
      <c r="I841" s="10"/>
      <c r="J841" s="10"/>
    </row>
    <row r="842" spans="1:10" x14ac:dyDescent="0.35">
      <c r="A842" s="26" t="s">
        <v>6487</v>
      </c>
      <c r="B842" s="26" t="s">
        <v>6265</v>
      </c>
      <c r="C842" s="27" t="s">
        <v>5087</v>
      </c>
      <c r="D842" s="26" t="s">
        <v>5528</v>
      </c>
      <c r="E842" s="26" t="s">
        <v>3224</v>
      </c>
    </row>
    <row r="843" spans="1:10" s="10" customFormat="1" x14ac:dyDescent="0.3">
      <c r="A843" s="19" t="s">
        <v>979</v>
      </c>
      <c r="B843" s="10" t="s">
        <v>982</v>
      </c>
      <c r="C843" s="10" t="s">
        <v>985</v>
      </c>
      <c r="D843" s="10" t="s">
        <v>988</v>
      </c>
    </row>
    <row r="844" spans="1:10" x14ac:dyDescent="0.3">
      <c r="A844" s="26" t="s">
        <v>6491</v>
      </c>
      <c r="B844" s="26" t="s">
        <v>5194</v>
      </c>
      <c r="C844" s="26" t="s">
        <v>6884</v>
      </c>
      <c r="D844" s="26" t="s">
        <v>5466</v>
      </c>
    </row>
    <row r="845" spans="1:10" x14ac:dyDescent="0.35">
      <c r="A845" s="26" t="s">
        <v>5147</v>
      </c>
      <c r="B845" s="24" t="s">
        <v>9469</v>
      </c>
      <c r="C845" s="26" t="s">
        <v>4484</v>
      </c>
      <c r="D845" s="26" t="s">
        <v>7527</v>
      </c>
      <c r="E845" s="26" t="s">
        <v>5951</v>
      </c>
      <c r="F845" s="26" t="s">
        <v>4784</v>
      </c>
      <c r="G845" s="26" t="s">
        <v>6123</v>
      </c>
      <c r="H845" s="26" t="s">
        <v>5490</v>
      </c>
      <c r="I845" s="26" t="s">
        <v>4369</v>
      </c>
    </row>
    <row r="846" spans="1:10" x14ac:dyDescent="0.3">
      <c r="A846" s="10" t="s">
        <v>2862</v>
      </c>
      <c r="B846" s="10" t="s">
        <v>1482</v>
      </c>
      <c r="C846" s="10" t="s">
        <v>1490</v>
      </c>
      <c r="D846" s="10" t="s">
        <v>5407</v>
      </c>
      <c r="E846" s="10" t="s">
        <v>3458</v>
      </c>
      <c r="F846" s="10"/>
      <c r="G846" s="10"/>
      <c r="H846" s="10"/>
      <c r="I846" s="10"/>
      <c r="J846" s="10"/>
    </row>
    <row r="847" spans="1:10" s="10" customFormat="1" x14ac:dyDescent="0.35">
      <c r="A847" s="26" t="s">
        <v>6498</v>
      </c>
      <c r="B847" s="26" t="s">
        <v>4575</v>
      </c>
      <c r="C847" s="27" t="s">
        <v>5713</v>
      </c>
      <c r="D847" s="26" t="s">
        <v>6404</v>
      </c>
      <c r="E847" s="26" t="s">
        <v>9410</v>
      </c>
      <c r="F847" s="26" t="s">
        <v>2119</v>
      </c>
      <c r="G847" s="26"/>
      <c r="H847" s="26"/>
      <c r="I847" s="26"/>
      <c r="J847" s="26"/>
    </row>
    <row r="848" spans="1:10" s="10" customFormat="1" x14ac:dyDescent="0.35">
      <c r="A848" s="26" t="s">
        <v>7368</v>
      </c>
      <c r="B848" s="26" t="s">
        <v>5532</v>
      </c>
      <c r="C848" s="26" t="s">
        <v>6256</v>
      </c>
      <c r="D848" s="24" t="s">
        <v>2384</v>
      </c>
      <c r="E848" s="26" t="s">
        <v>6364</v>
      </c>
      <c r="F848" s="26" t="s">
        <v>5240</v>
      </c>
      <c r="G848" s="26"/>
      <c r="H848" s="26"/>
      <c r="I848" s="26"/>
      <c r="J848" s="26"/>
    </row>
    <row r="849" spans="1:10" s="10" customFormat="1" x14ac:dyDescent="0.35">
      <c r="A849" s="26" t="s">
        <v>7371</v>
      </c>
      <c r="B849" s="26" t="s">
        <v>7625</v>
      </c>
      <c r="C849" s="26" t="s">
        <v>4600</v>
      </c>
      <c r="D849" s="27" t="s">
        <v>1037</v>
      </c>
      <c r="E849" s="27" t="s">
        <v>7425</v>
      </c>
      <c r="F849" s="26" t="s">
        <v>5259</v>
      </c>
      <c r="G849" s="26" t="s">
        <v>733</v>
      </c>
      <c r="H849" s="26"/>
      <c r="I849" s="26"/>
      <c r="J849" s="26"/>
    </row>
    <row r="850" spans="1:10" x14ac:dyDescent="0.3">
      <c r="A850" s="19" t="s">
        <v>73</v>
      </c>
      <c r="B850" s="10" t="s">
        <v>7374</v>
      </c>
      <c r="C850" s="34" t="s">
        <v>2182</v>
      </c>
      <c r="D850" s="10" t="s">
        <v>5923</v>
      </c>
      <c r="E850" s="34" t="s">
        <v>2169</v>
      </c>
      <c r="F850" s="34" t="s">
        <v>2174</v>
      </c>
      <c r="G850" s="34" t="s">
        <v>9520</v>
      </c>
      <c r="H850" s="34" t="s">
        <v>2212</v>
      </c>
      <c r="I850" s="10" t="s">
        <v>2107</v>
      </c>
      <c r="J850" s="10" t="s">
        <v>2103</v>
      </c>
    </row>
    <row r="851" spans="1:10" x14ac:dyDescent="0.3">
      <c r="A851" s="19" t="s">
        <v>7378</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7584</v>
      </c>
      <c r="C852" s="10" t="s">
        <v>4751</v>
      </c>
      <c r="D852" s="10" t="s">
        <v>4559</v>
      </c>
      <c r="E852" s="10"/>
      <c r="F852" s="10"/>
      <c r="G852" s="10"/>
      <c r="H852" s="10"/>
      <c r="I852" s="10"/>
      <c r="J852" s="10"/>
    </row>
    <row r="853" spans="1:10" x14ac:dyDescent="0.3">
      <c r="A853" s="26" t="s">
        <v>1311</v>
      </c>
      <c r="B853" s="26" t="s">
        <v>1288</v>
      </c>
      <c r="C853" s="26" t="s">
        <v>1042</v>
      </c>
    </row>
    <row r="854" spans="1:10" x14ac:dyDescent="0.35">
      <c r="A854" s="26" t="s">
        <v>9507</v>
      </c>
      <c r="B854" s="26" t="s">
        <v>2820</v>
      </c>
      <c r="C854" s="26" t="s">
        <v>2800</v>
      </c>
      <c r="D854" s="26" t="s">
        <v>5429</v>
      </c>
      <c r="E854" s="26" t="s">
        <v>1665</v>
      </c>
      <c r="F854" s="24" t="s">
        <v>3397</v>
      </c>
    </row>
    <row r="855" spans="1:10" x14ac:dyDescent="0.35">
      <c r="A855" s="26" t="s">
        <v>7381</v>
      </c>
      <c r="B855" s="26" t="s">
        <v>4956</v>
      </c>
      <c r="C855" s="24" t="s">
        <v>2584</v>
      </c>
      <c r="D855" s="26" t="s">
        <v>3500</v>
      </c>
    </row>
    <row r="856" spans="1:10" x14ac:dyDescent="0.3">
      <c r="A856" s="26" t="s">
        <v>6507</v>
      </c>
      <c r="B856" s="26" t="s">
        <v>2076</v>
      </c>
      <c r="C856" s="26" t="s">
        <v>6922</v>
      </c>
      <c r="D856" s="26" t="s">
        <v>2871</v>
      </c>
      <c r="E856" s="26" t="s">
        <v>2846</v>
      </c>
    </row>
    <row r="857" spans="1:10" x14ac:dyDescent="0.35">
      <c r="A857" s="26" t="s">
        <v>6511</v>
      </c>
      <c r="B857" s="26" t="s">
        <v>3713</v>
      </c>
      <c r="C857" s="27"/>
    </row>
    <row r="858" spans="1:10" x14ac:dyDescent="0.3">
      <c r="A858" s="26" t="s">
        <v>6519</v>
      </c>
      <c r="B858" s="26" t="s">
        <v>2317</v>
      </c>
    </row>
    <row r="859" spans="1:10" s="10" customFormat="1" x14ac:dyDescent="0.3">
      <c r="A859" s="26" t="s">
        <v>6527</v>
      </c>
      <c r="B859" s="26" t="s">
        <v>5905</v>
      </c>
      <c r="C859" s="26" t="s">
        <v>3713</v>
      </c>
      <c r="D859" s="26" t="s">
        <v>6535</v>
      </c>
      <c r="E859" s="26"/>
      <c r="F859" s="26"/>
      <c r="G859" s="26"/>
      <c r="H859" s="26"/>
      <c r="I859" s="26"/>
      <c r="J859" s="26"/>
    </row>
    <row r="860" spans="1:10" x14ac:dyDescent="0.3">
      <c r="A860" s="26" t="s">
        <v>6535</v>
      </c>
      <c r="B860" s="26" t="s">
        <v>5905</v>
      </c>
      <c r="C860" s="26" t="s">
        <v>3713</v>
      </c>
      <c r="D860" s="26" t="s">
        <v>6527</v>
      </c>
    </row>
    <row r="861" spans="1:10" x14ac:dyDescent="0.35">
      <c r="A861" s="26" t="s">
        <v>6543</v>
      </c>
      <c r="B861" s="26" t="s">
        <v>5091</v>
      </c>
      <c r="C861" s="26" t="s">
        <v>89</v>
      </c>
      <c r="D861" s="27"/>
    </row>
    <row r="862" spans="1:10" s="10" customFormat="1" x14ac:dyDescent="0.3">
      <c r="A862" s="10" t="s">
        <v>1152</v>
      </c>
      <c r="B862" s="10" t="s">
        <v>6572</v>
      </c>
      <c r="C862" s="10" t="s">
        <v>661</v>
      </c>
      <c r="D862" s="34" t="s">
        <v>5855</v>
      </c>
    </row>
    <row r="863" spans="1:10" x14ac:dyDescent="0.35">
      <c r="A863" s="26" t="s">
        <v>6889</v>
      </c>
      <c r="B863" s="26" t="s">
        <v>4956</v>
      </c>
      <c r="C863" s="24" t="s">
        <v>9472</v>
      </c>
      <c r="D863" s="26" t="s">
        <v>6023</v>
      </c>
    </row>
    <row r="864" spans="1:10" s="10" customFormat="1" x14ac:dyDescent="0.3">
      <c r="A864" s="26" t="s">
        <v>6894</v>
      </c>
      <c r="B864" s="26"/>
      <c r="C864" s="26"/>
      <c r="D864" s="26"/>
      <c r="E864" s="26"/>
      <c r="F864" s="26"/>
      <c r="G864" s="26"/>
      <c r="H864" s="26"/>
      <c r="I864" s="26"/>
      <c r="J864" s="26"/>
    </row>
    <row r="865" spans="1:10" s="10" customFormat="1" x14ac:dyDescent="0.3">
      <c r="A865" s="10" t="s">
        <v>6898</v>
      </c>
      <c r="B865" s="34" t="s">
        <v>5388</v>
      </c>
      <c r="C865" s="10" t="s">
        <v>2846</v>
      </c>
    </row>
    <row r="866" spans="1:10" s="10" customFormat="1" x14ac:dyDescent="0.3">
      <c r="A866" s="26" t="s">
        <v>3405</v>
      </c>
      <c r="B866" s="26" t="s">
        <v>5216</v>
      </c>
      <c r="C866" s="26" t="s">
        <v>3603</v>
      </c>
      <c r="D866" s="26" t="s">
        <v>3767</v>
      </c>
      <c r="E866" s="26" t="s">
        <v>3920</v>
      </c>
      <c r="F866" s="26" t="s">
        <v>3536</v>
      </c>
      <c r="G866" s="26" t="s">
        <v>9448</v>
      </c>
      <c r="H866" s="26"/>
      <c r="I866" s="26"/>
      <c r="J866" s="26"/>
    </row>
    <row r="867" spans="1:10" s="10" customFormat="1" x14ac:dyDescent="0.3">
      <c r="A867" s="19" t="s">
        <v>3414</v>
      </c>
      <c r="B867" s="10" t="s">
        <v>23</v>
      </c>
      <c r="C867" s="10" t="s">
        <v>415</v>
      </c>
      <c r="D867" s="10" t="s">
        <v>9448</v>
      </c>
      <c r="E867" s="20" t="s">
        <v>1829</v>
      </c>
      <c r="F867" s="20" t="s">
        <v>2732</v>
      </c>
      <c r="G867" s="34" t="s">
        <v>4784</v>
      </c>
      <c r="H867" s="10" t="s">
        <v>4161</v>
      </c>
    </row>
    <row r="868" spans="1:10" x14ac:dyDescent="0.3">
      <c r="A868" s="19" t="s">
        <v>3434</v>
      </c>
      <c r="B868" s="10" t="s">
        <v>5244</v>
      </c>
      <c r="C868" s="10" t="s">
        <v>458</v>
      </c>
      <c r="D868" s="10" t="s">
        <v>9614</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9614</v>
      </c>
    </row>
    <row r="870" spans="1:10" s="10" customFormat="1" x14ac:dyDescent="0.3">
      <c r="A870" s="19" t="s">
        <v>3458</v>
      </c>
      <c r="B870" s="10" t="s">
        <v>6664</v>
      </c>
      <c r="C870" s="10" t="s">
        <v>2846</v>
      </c>
      <c r="D870" s="10" t="s">
        <v>2139</v>
      </c>
      <c r="E870" s="34" t="s">
        <v>2834</v>
      </c>
      <c r="F870" s="34" t="s">
        <v>2862</v>
      </c>
    </row>
    <row r="871" spans="1:10" s="10" customFormat="1" x14ac:dyDescent="0.3">
      <c r="A871" s="26" t="s">
        <v>3466</v>
      </c>
      <c r="B871" s="26" t="s">
        <v>6800</v>
      </c>
      <c r="C871" s="26" t="s">
        <v>4697</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6994</v>
      </c>
      <c r="F872" s="10" t="s">
        <v>3720</v>
      </c>
      <c r="G872" s="10" t="s">
        <v>2333</v>
      </c>
    </row>
    <row r="873" spans="1:10" x14ac:dyDescent="0.3">
      <c r="A873" s="19" t="s">
        <v>3481</v>
      </c>
      <c r="B873" s="10" t="s">
        <v>1029</v>
      </c>
      <c r="C873" s="10" t="s">
        <v>3116</v>
      </c>
      <c r="D873" s="10" t="s">
        <v>6824</v>
      </c>
      <c r="E873" s="10" t="s">
        <v>3865</v>
      </c>
      <c r="F873" s="10" t="s">
        <v>4065</v>
      </c>
      <c r="G873" s="10" t="s">
        <v>6950</v>
      </c>
      <c r="H873" s="10" t="s">
        <v>7614</v>
      </c>
      <c r="I873" s="10"/>
      <c r="J873" s="10"/>
    </row>
    <row r="874" spans="1:10" s="10" customFormat="1" x14ac:dyDescent="0.3">
      <c r="A874" s="19" t="s">
        <v>3504</v>
      </c>
      <c r="B874" s="10" t="s">
        <v>4741</v>
      </c>
      <c r="C874" s="10" t="s">
        <v>876</v>
      </c>
      <c r="D874" s="10" t="s">
        <v>872</v>
      </c>
      <c r="E874" s="10" t="s">
        <v>2156</v>
      </c>
      <c r="F874" s="10" t="s">
        <v>1474</v>
      </c>
      <c r="G874" s="10" t="s">
        <v>1478</v>
      </c>
    </row>
    <row r="875" spans="1:10" x14ac:dyDescent="0.3">
      <c r="A875" s="10" t="s">
        <v>3524</v>
      </c>
      <c r="B875" s="10" t="s">
        <v>415</v>
      </c>
      <c r="C875" s="10" t="s">
        <v>5227</v>
      </c>
      <c r="D875" s="34" t="s">
        <v>3339</v>
      </c>
      <c r="E875" s="10" t="s">
        <v>5292</v>
      </c>
      <c r="F875" s="34" t="s">
        <v>2941</v>
      </c>
      <c r="G875" s="34" t="s">
        <v>3028</v>
      </c>
      <c r="H875" s="10" t="s">
        <v>29</v>
      </c>
      <c r="I875" s="10"/>
      <c r="J875" s="10"/>
    </row>
    <row r="876" spans="1:10" x14ac:dyDescent="0.3">
      <c r="A876" s="26" t="s">
        <v>3528</v>
      </c>
      <c r="B876" s="26" t="s">
        <v>3813</v>
      </c>
      <c r="C876" s="26" t="s">
        <v>5177</v>
      </c>
      <c r="D876" s="26" t="s">
        <v>6933</v>
      </c>
      <c r="E876" s="26" t="s">
        <v>9487</v>
      </c>
    </row>
    <row r="877" spans="1:10" x14ac:dyDescent="0.3">
      <c r="A877" s="19" t="s">
        <v>3548</v>
      </c>
      <c r="B877" s="10" t="s">
        <v>5905</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7385</v>
      </c>
      <c r="D878" s="26"/>
      <c r="E878" s="26"/>
      <c r="F878" s="26"/>
      <c r="G878" s="26"/>
      <c r="H878" s="26"/>
      <c r="I878" s="26"/>
      <c r="J878" s="26"/>
    </row>
    <row r="879" spans="1:10" s="10" customFormat="1" x14ac:dyDescent="0.3">
      <c r="A879" s="26" t="s">
        <v>3571</v>
      </c>
      <c r="B879" s="26" t="s">
        <v>9487</v>
      </c>
      <c r="C879" s="26" t="s">
        <v>7198</v>
      </c>
      <c r="D879" s="26" t="s">
        <v>9520</v>
      </c>
      <c r="E879" s="26" t="s">
        <v>5016</v>
      </c>
      <c r="F879" s="26" t="s">
        <v>3582</v>
      </c>
      <c r="G879" s="26"/>
      <c r="H879" s="26"/>
      <c r="I879" s="26"/>
      <c r="J879" s="26"/>
    </row>
    <row r="880" spans="1:10" x14ac:dyDescent="0.35">
      <c r="A880" s="26" t="s">
        <v>3582</v>
      </c>
      <c r="B880" s="26" t="s">
        <v>3363</v>
      </c>
      <c r="C880" s="26" t="s">
        <v>9641</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6289</v>
      </c>
      <c r="H881" s="10" t="s">
        <v>615</v>
      </c>
      <c r="I881" s="10"/>
      <c r="J881" s="10"/>
    </row>
    <row r="882" spans="1:10" s="10" customFormat="1" x14ac:dyDescent="0.3">
      <c r="A882" s="19" t="s">
        <v>3596</v>
      </c>
      <c r="B882" s="34" t="s">
        <v>458</v>
      </c>
      <c r="C882" s="10" t="s">
        <v>415</v>
      </c>
      <c r="D882" s="10" t="s">
        <v>7170</v>
      </c>
      <c r="E882" s="10" t="s">
        <v>7385</v>
      </c>
    </row>
    <row r="883" spans="1:10" x14ac:dyDescent="0.3">
      <c r="A883" s="26" t="s">
        <v>3603</v>
      </c>
      <c r="B883" s="26" t="s">
        <v>7085</v>
      </c>
      <c r="C883" s="26" t="s">
        <v>4888</v>
      </c>
      <c r="D883" s="26" t="s">
        <v>6380</v>
      </c>
      <c r="E883" s="26" t="s">
        <v>5768</v>
      </c>
      <c r="F883" s="26" t="s">
        <v>7436</v>
      </c>
    </row>
    <row r="884" spans="1:10" x14ac:dyDescent="0.35">
      <c r="A884" s="26" t="s">
        <v>3614</v>
      </c>
      <c r="B884" s="26" t="s">
        <v>3112</v>
      </c>
      <c r="C884" s="26" t="s">
        <v>6994</v>
      </c>
      <c r="D884" s="24" t="s">
        <v>3846</v>
      </c>
      <c r="E884" s="26" t="s">
        <v>3857</v>
      </c>
      <c r="F884" s="26" t="s">
        <v>6334</v>
      </c>
    </row>
    <row r="885" spans="1:10" x14ac:dyDescent="0.3">
      <c r="A885" s="19" t="s">
        <v>3634</v>
      </c>
      <c r="B885" s="10" t="s">
        <v>6824</v>
      </c>
      <c r="C885" s="10" t="s">
        <v>3481</v>
      </c>
      <c r="D885" s="10" t="s">
        <v>6914</v>
      </c>
      <c r="E885" s="10" t="s">
        <v>4065</v>
      </c>
      <c r="F885" s="10" t="s">
        <v>3759</v>
      </c>
      <c r="G885" s="10" t="s">
        <v>6922</v>
      </c>
      <c r="H885" s="10" t="s">
        <v>968</v>
      </c>
      <c r="I885" s="10" t="s">
        <v>4980</v>
      </c>
      <c r="J885" s="10" t="s">
        <v>3973</v>
      </c>
    </row>
    <row r="886" spans="1:10" x14ac:dyDescent="0.35">
      <c r="A886" s="26" t="s">
        <v>3641</v>
      </c>
      <c r="B886" s="26" t="s">
        <v>4352</v>
      </c>
      <c r="C886" s="24" t="s">
        <v>9516</v>
      </c>
    </row>
    <row r="887" spans="1:10" x14ac:dyDescent="0.3">
      <c r="A887" s="26" t="s">
        <v>3652</v>
      </c>
      <c r="B887" s="26" t="s">
        <v>3857</v>
      </c>
      <c r="C887" s="26" t="s">
        <v>3116</v>
      </c>
      <c r="D887" s="26" t="s">
        <v>7160</v>
      </c>
      <c r="E887" s="26" t="s">
        <v>6781</v>
      </c>
      <c r="F887" s="26" t="s">
        <v>4765</v>
      </c>
      <c r="G887" s="26" t="s">
        <v>1060</v>
      </c>
    </row>
    <row r="888" spans="1:10" x14ac:dyDescent="0.35">
      <c r="A888" s="26" t="s">
        <v>3658</v>
      </c>
      <c r="B888" s="26" t="s">
        <v>6023</v>
      </c>
      <c r="C888" s="27" t="s">
        <v>5528</v>
      </c>
      <c r="D888" s="26" t="s">
        <v>3224</v>
      </c>
      <c r="E888" s="26" t="s">
        <v>5087</v>
      </c>
      <c r="F888" s="26" t="s">
        <v>6265</v>
      </c>
    </row>
    <row r="889" spans="1:10" s="10" customFormat="1" x14ac:dyDescent="0.3">
      <c r="A889" s="26" t="s">
        <v>3672</v>
      </c>
      <c r="B889" s="26" t="s">
        <v>7278</v>
      </c>
      <c r="C889" s="26" t="s">
        <v>5020</v>
      </c>
      <c r="D889" s="26" t="s">
        <v>5603</v>
      </c>
      <c r="E889" s="26"/>
      <c r="F889" s="26"/>
      <c r="G889" s="26"/>
      <c r="H889" s="26"/>
      <c r="I889" s="26"/>
      <c r="J889" s="26"/>
    </row>
    <row r="890" spans="1:10" x14ac:dyDescent="0.3">
      <c r="A890" s="26" t="s">
        <v>3676</v>
      </c>
      <c r="B890" s="26" t="s">
        <v>1372</v>
      </c>
      <c r="C890" s="26" t="s">
        <v>1376</v>
      </c>
      <c r="D890" s="26" t="s">
        <v>1383</v>
      </c>
      <c r="E890" s="26" t="s">
        <v>9653</v>
      </c>
    </row>
    <row r="891" spans="1:10" x14ac:dyDescent="0.35">
      <c r="A891" s="26" t="s">
        <v>3697</v>
      </c>
      <c r="B891" s="26" t="s">
        <v>5990</v>
      </c>
      <c r="C891" s="27" t="s">
        <v>756</v>
      </c>
      <c r="D891" s="26" t="s">
        <v>6712</v>
      </c>
    </row>
    <row r="892" spans="1:10" x14ac:dyDescent="0.3">
      <c r="A892" s="19" t="s">
        <v>3705</v>
      </c>
      <c r="B892" s="10" t="s">
        <v>2139</v>
      </c>
      <c r="C892" s="10" t="s">
        <v>2129</v>
      </c>
      <c r="D892" s="10" t="s">
        <v>3458</v>
      </c>
      <c r="E892" s="10" t="s">
        <v>4980</v>
      </c>
      <c r="F892" s="10" t="s">
        <v>1568</v>
      </c>
      <c r="G892" s="10" t="s">
        <v>3257</v>
      </c>
      <c r="H892" s="10" t="s">
        <v>9717</v>
      </c>
      <c r="I892" s="10"/>
      <c r="J892" s="10"/>
    </row>
    <row r="893" spans="1:10" x14ac:dyDescent="0.35">
      <c r="A893" s="26" t="s">
        <v>3720</v>
      </c>
      <c r="B893" s="26" t="s">
        <v>3112</v>
      </c>
      <c r="C893" s="26" t="s">
        <v>1051</v>
      </c>
      <c r="D893" s="26" t="s">
        <v>6994</v>
      </c>
      <c r="E893" s="26" t="s">
        <v>670</v>
      </c>
      <c r="F893" s="26" t="s">
        <v>1690</v>
      </c>
      <c r="G893" s="24" t="s">
        <v>2384</v>
      </c>
      <c r="H893" s="26" t="s">
        <v>1060</v>
      </c>
      <c r="I893" s="26" t="s">
        <v>3903</v>
      </c>
    </row>
    <row r="894" spans="1:10" x14ac:dyDescent="0.3">
      <c r="A894" s="26" t="s">
        <v>3728</v>
      </c>
      <c r="B894" s="26" t="s">
        <v>7160</v>
      </c>
      <c r="C894" s="26" t="s">
        <v>6781</v>
      </c>
      <c r="D894" s="26" t="s">
        <v>4765</v>
      </c>
      <c r="E894" s="26" t="s">
        <v>3116</v>
      </c>
    </row>
    <row r="895" spans="1:10" x14ac:dyDescent="0.35">
      <c r="A895" s="26" t="s">
        <v>3734</v>
      </c>
      <c r="B895" s="26" t="s">
        <v>760</v>
      </c>
      <c r="C895" s="26" t="s">
        <v>10035</v>
      </c>
      <c r="D895" s="26" t="s">
        <v>1678</v>
      </c>
      <c r="E895" s="26" t="s">
        <v>1157</v>
      </c>
      <c r="F895" s="24" t="s">
        <v>9396</v>
      </c>
      <c r="G895" s="26" t="s">
        <v>1161</v>
      </c>
      <c r="H895" s="26" t="s">
        <v>2008</v>
      </c>
    </row>
    <row r="896" spans="1:10" s="10" customFormat="1" x14ac:dyDescent="0.35">
      <c r="A896" s="26" t="s">
        <v>3759</v>
      </c>
      <c r="B896" s="27" t="s">
        <v>670</v>
      </c>
      <c r="C896" s="26" t="s">
        <v>6289</v>
      </c>
      <c r="D896" s="26" t="s">
        <v>622</v>
      </c>
      <c r="E896" s="26" t="s">
        <v>7709</v>
      </c>
      <c r="F896" s="26" t="s">
        <v>7170</v>
      </c>
      <c r="G896" s="27" t="s">
        <v>7594</v>
      </c>
      <c r="H896" s="26"/>
      <c r="I896" s="26"/>
      <c r="J896" s="26"/>
    </row>
    <row r="897" spans="1:10" x14ac:dyDescent="0.3">
      <c r="A897" s="26" t="s">
        <v>3767</v>
      </c>
      <c r="B897" s="26" t="s">
        <v>3603</v>
      </c>
      <c r="C897" s="26" t="s">
        <v>4888</v>
      </c>
      <c r="D897" s="26" t="s">
        <v>7085</v>
      </c>
      <c r="E897" s="26" t="s">
        <v>7436</v>
      </c>
    </row>
    <row r="898" spans="1:10" s="10" customFormat="1" x14ac:dyDescent="0.35">
      <c r="A898" s="26" t="s">
        <v>3789</v>
      </c>
      <c r="B898" s="26" t="s">
        <v>4960</v>
      </c>
      <c r="C898" s="27" t="s">
        <v>6622</v>
      </c>
      <c r="D898" s="26" t="s">
        <v>6994</v>
      </c>
      <c r="E898" s="26" t="s">
        <v>3857</v>
      </c>
      <c r="F898" s="26" t="s">
        <v>5020</v>
      </c>
      <c r="G898" s="26"/>
      <c r="H898" s="26"/>
      <c r="I898" s="26"/>
      <c r="J898" s="26"/>
    </row>
    <row r="899" spans="1:10" s="10" customFormat="1" x14ac:dyDescent="0.3">
      <c r="A899" s="19" t="s">
        <v>3796</v>
      </c>
      <c r="B899" s="10" t="s">
        <v>2481</v>
      </c>
      <c r="C899" s="10" t="s">
        <v>3359</v>
      </c>
      <c r="D899" s="10" t="s">
        <v>6606</v>
      </c>
    </row>
    <row r="900" spans="1:10" s="10" customFormat="1" x14ac:dyDescent="0.3">
      <c r="A900" s="26" t="s">
        <v>3804</v>
      </c>
      <c r="B900" s="26" t="s">
        <v>7160</v>
      </c>
      <c r="C900" s="26" t="s">
        <v>6781</v>
      </c>
      <c r="D900" s="26" t="s">
        <v>4765</v>
      </c>
      <c r="E900" s="26" t="s">
        <v>3116</v>
      </c>
      <c r="F900" s="26" t="s">
        <v>4039</v>
      </c>
      <c r="G900" s="26" t="s">
        <v>7385</v>
      </c>
      <c r="H900" s="26"/>
      <c r="I900" s="26"/>
      <c r="J900" s="26"/>
    </row>
    <row r="901" spans="1:10" x14ac:dyDescent="0.3">
      <c r="A901" s="19" t="s">
        <v>3813</v>
      </c>
      <c r="B901" s="10" t="s">
        <v>1051</v>
      </c>
      <c r="C901" s="10" t="s">
        <v>670</v>
      </c>
      <c r="D901" s="10" t="s">
        <v>6994</v>
      </c>
      <c r="E901" s="10"/>
      <c r="F901" s="10"/>
      <c r="G901" s="10"/>
      <c r="H901" s="10"/>
      <c r="I901" s="10"/>
      <c r="J901" s="10"/>
    </row>
    <row r="902" spans="1:10" s="10" customFormat="1" x14ac:dyDescent="0.3">
      <c r="A902" s="19" t="s">
        <v>3825</v>
      </c>
      <c r="B902" s="10" t="s">
        <v>415</v>
      </c>
      <c r="C902" s="10" t="s">
        <v>2119</v>
      </c>
      <c r="D902" s="10" t="s">
        <v>2317</v>
      </c>
      <c r="E902" s="10" t="s">
        <v>4888</v>
      </c>
      <c r="F902" s="10" t="s">
        <v>6914</v>
      </c>
      <c r="G902" s="10" t="s">
        <v>3548</v>
      </c>
      <c r="H902" s="10" t="s">
        <v>3434</v>
      </c>
      <c r="I902" s="10" t="s">
        <v>1842</v>
      </c>
      <c r="J902" s="10" t="s">
        <v>5615</v>
      </c>
    </row>
    <row r="903" spans="1:10" s="10" customFormat="1" x14ac:dyDescent="0.3">
      <c r="A903" s="19" t="s">
        <v>3831</v>
      </c>
      <c r="B903" s="10" t="s">
        <v>900</v>
      </c>
      <c r="C903" s="10" t="s">
        <v>3176</v>
      </c>
      <c r="D903" s="10" t="s">
        <v>3180</v>
      </c>
      <c r="E903" s="10" t="s">
        <v>3183</v>
      </c>
      <c r="F903" s="10" t="s">
        <v>3192</v>
      </c>
      <c r="G903" s="10" t="s">
        <v>3188</v>
      </c>
      <c r="H903" s="10" t="s">
        <v>6277</v>
      </c>
      <c r="I903" s="34" t="s">
        <v>2401</v>
      </c>
    </row>
    <row r="904" spans="1:10" x14ac:dyDescent="0.3">
      <c r="A904" s="26" t="s">
        <v>3852</v>
      </c>
      <c r="B904" s="26" t="s">
        <v>3603</v>
      </c>
      <c r="C904" s="26" t="s">
        <v>4888</v>
      </c>
      <c r="D904" s="26" t="s">
        <v>3672</v>
      </c>
    </row>
    <row r="905" spans="1:10" s="10" customFormat="1" x14ac:dyDescent="0.3">
      <c r="A905" s="19" t="s">
        <v>3857</v>
      </c>
      <c r="B905" s="10" t="s">
        <v>1060</v>
      </c>
      <c r="C905" s="34" t="s">
        <v>670</v>
      </c>
      <c r="D905" s="10" t="s">
        <v>5490</v>
      </c>
      <c r="E905" s="10" t="s">
        <v>6994</v>
      </c>
    </row>
    <row r="906" spans="1:10" x14ac:dyDescent="0.3">
      <c r="A906" s="19" t="s">
        <v>3865</v>
      </c>
      <c r="B906" s="10" t="s">
        <v>5713</v>
      </c>
      <c r="C906" s="10" t="s">
        <v>6404</v>
      </c>
      <c r="D906" s="34" t="s">
        <v>6067</v>
      </c>
      <c r="E906" s="10" t="s">
        <v>2119</v>
      </c>
      <c r="F906" s="10" t="s">
        <v>2115</v>
      </c>
      <c r="G906" s="10" t="s">
        <v>3228</v>
      </c>
      <c r="H906" s="10" t="s">
        <v>9432</v>
      </c>
      <c r="I906" s="10"/>
      <c r="J906" s="10"/>
    </row>
    <row r="907" spans="1:10" x14ac:dyDescent="0.35">
      <c r="A907" s="26" t="s">
        <v>3903</v>
      </c>
      <c r="B907" s="27" t="s">
        <v>1060</v>
      </c>
      <c r="C907" s="27" t="s">
        <v>670</v>
      </c>
      <c r="D907" s="26" t="s">
        <v>5490</v>
      </c>
      <c r="E907" s="26" t="s">
        <v>3857</v>
      </c>
      <c r="F907" s="26" t="s">
        <v>6994</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6650</v>
      </c>
      <c r="C909" s="26" t="s">
        <v>7617</v>
      </c>
      <c r="D909" s="26" t="s">
        <v>6572</v>
      </c>
      <c r="E909" s="26" t="s">
        <v>3536</v>
      </c>
      <c r="F909" s="26" t="s">
        <v>5024</v>
      </c>
      <c r="G909" s="26" t="s">
        <v>3275</v>
      </c>
      <c r="H909" s="26" t="s">
        <v>9449</v>
      </c>
      <c r="I909" s="26" t="s">
        <v>3262</v>
      </c>
      <c r="J909" s="26" t="s">
        <v>5705</v>
      </c>
    </row>
    <row r="910" spans="1:10" s="10" customFormat="1" x14ac:dyDescent="0.3">
      <c r="A910" s="26" t="s">
        <v>3932</v>
      </c>
      <c r="B910" s="26" t="s">
        <v>3652</v>
      </c>
      <c r="C910" s="26" t="s">
        <v>5528</v>
      </c>
      <c r="D910" s="26" t="s">
        <v>6487</v>
      </c>
      <c r="E910" s="26" t="s">
        <v>6622</v>
      </c>
      <c r="F910" s="26" t="s">
        <v>5087</v>
      </c>
      <c r="G910" s="26" t="s">
        <v>6943</v>
      </c>
      <c r="H910" s="26"/>
      <c r="I910" s="26"/>
      <c r="J910" s="26"/>
    </row>
    <row r="911" spans="1:10" s="10" customFormat="1" x14ac:dyDescent="0.3">
      <c r="A911" s="10" t="s">
        <v>3942</v>
      </c>
      <c r="B911" s="20" t="s">
        <v>3144</v>
      </c>
      <c r="C911" s="10" t="s">
        <v>3548</v>
      </c>
      <c r="D911" s="10" t="s">
        <v>6914</v>
      </c>
      <c r="E911" s="10" t="s">
        <v>3458</v>
      </c>
      <c r="F911" s="10" t="s">
        <v>6922</v>
      </c>
      <c r="G911" s="10" t="s">
        <v>3705</v>
      </c>
      <c r="H911" s="10" t="s">
        <v>4980</v>
      </c>
      <c r="I911" s="10" t="s">
        <v>2834</v>
      </c>
      <c r="J911" s="10" t="s">
        <v>4936</v>
      </c>
    </row>
    <row r="912" spans="1:10" x14ac:dyDescent="0.3">
      <c r="A912" s="26" t="s">
        <v>3954</v>
      </c>
      <c r="B912" s="26" t="s">
        <v>5591</v>
      </c>
      <c r="C912" s="26" t="s">
        <v>642</v>
      </c>
      <c r="D912" s="26" t="s">
        <v>7709</v>
      </c>
      <c r="E912" s="26" t="s">
        <v>5663</v>
      </c>
      <c r="F912" s="26" t="s">
        <v>3990</v>
      </c>
      <c r="G912" s="26" t="s">
        <v>7560</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6824</v>
      </c>
      <c r="D914" s="10" t="s">
        <v>6914</v>
      </c>
      <c r="E914" s="10" t="s">
        <v>4065</v>
      </c>
      <c r="F914" s="10" t="s">
        <v>3759</v>
      </c>
      <c r="G914" s="10" t="s">
        <v>4980</v>
      </c>
      <c r="H914" s="10" t="s">
        <v>4936</v>
      </c>
      <c r="I914" s="10" t="s">
        <v>3634</v>
      </c>
      <c r="J914" s="10"/>
    </row>
    <row r="915" spans="1:10" x14ac:dyDescent="0.3">
      <c r="A915" s="26" t="s">
        <v>3982</v>
      </c>
      <c r="B915" s="26" t="s">
        <v>5685</v>
      </c>
      <c r="C915" s="26" t="s">
        <v>2119</v>
      </c>
      <c r="D915" s="26" t="s">
        <v>4082</v>
      </c>
      <c r="E915" s="26" t="s">
        <v>4357</v>
      </c>
      <c r="F915" s="26" t="s">
        <v>5726</v>
      </c>
      <c r="G915" s="26" t="s">
        <v>4129</v>
      </c>
      <c r="H915" s="26" t="s">
        <v>2169</v>
      </c>
      <c r="I915" s="26" t="s">
        <v>9462</v>
      </c>
    </row>
    <row r="916" spans="1:10" x14ac:dyDescent="0.3">
      <c r="A916" s="26" t="s">
        <v>3990</v>
      </c>
      <c r="B916" s="26" t="s">
        <v>5663</v>
      </c>
      <c r="C916" s="26" t="s">
        <v>6389</v>
      </c>
      <c r="D916" s="26" t="s">
        <v>6552</v>
      </c>
      <c r="E916" s="26" t="s">
        <v>7560</v>
      </c>
    </row>
    <row r="917" spans="1:10" s="10" customFormat="1" x14ac:dyDescent="0.3">
      <c r="A917" s="26" t="s">
        <v>4004</v>
      </c>
      <c r="B917" s="26" t="s">
        <v>5843</v>
      </c>
      <c r="C917" s="26"/>
      <c r="D917" s="26"/>
      <c r="E917" s="26"/>
      <c r="F917" s="26"/>
      <c r="G917" s="26"/>
      <c r="H917" s="26"/>
      <c r="I917" s="26"/>
      <c r="J917" s="26"/>
    </row>
    <row r="918" spans="1:10" x14ac:dyDescent="0.3">
      <c r="A918" s="26" t="s">
        <v>4039</v>
      </c>
      <c r="B918" s="26" t="s">
        <v>3116</v>
      </c>
      <c r="C918" s="26" t="s">
        <v>7026</v>
      </c>
      <c r="D918" s="26" t="s">
        <v>7160</v>
      </c>
      <c r="E918" s="26" t="s">
        <v>6781</v>
      </c>
      <c r="F918" s="26" t="s">
        <v>6789</v>
      </c>
      <c r="G918" s="26" t="s">
        <v>1773</v>
      </c>
    </row>
    <row r="919" spans="1:10" x14ac:dyDescent="0.35">
      <c r="A919" s="26" t="s">
        <v>4059</v>
      </c>
      <c r="B919" s="26" t="s">
        <v>6831</v>
      </c>
      <c r="C919" s="27" t="s">
        <v>4098</v>
      </c>
      <c r="D919" s="26" t="s">
        <v>5372</v>
      </c>
      <c r="E919" s="26" t="s">
        <v>2317</v>
      </c>
      <c r="F919" s="26" t="s">
        <v>4901</v>
      </c>
      <c r="G919" s="26" t="s">
        <v>5274</v>
      </c>
    </row>
    <row r="920" spans="1:10" x14ac:dyDescent="0.3">
      <c r="A920" s="19" t="s">
        <v>4065</v>
      </c>
      <c r="B920" s="10" t="s">
        <v>1981</v>
      </c>
      <c r="C920" s="10" t="s">
        <v>1073</v>
      </c>
      <c r="D920" s="10" t="s">
        <v>1060</v>
      </c>
      <c r="E920" s="10" t="s">
        <v>674</v>
      </c>
      <c r="F920" s="10" t="s">
        <v>622</v>
      </c>
      <c r="G920" s="10" t="s">
        <v>6289</v>
      </c>
      <c r="H920" s="10" t="s">
        <v>5876</v>
      </c>
      <c r="I920" s="10" t="s">
        <v>473</v>
      </c>
      <c r="J920" s="10" t="s">
        <v>6622</v>
      </c>
    </row>
    <row r="921" spans="1:10" s="10" customFormat="1" x14ac:dyDescent="0.35">
      <c r="A921" s="26" t="s">
        <v>5274</v>
      </c>
      <c r="B921" s="26" t="s">
        <v>4059</v>
      </c>
      <c r="C921" s="26" t="s">
        <v>4098</v>
      </c>
      <c r="D921" s="26" t="s">
        <v>5372</v>
      </c>
      <c r="E921" s="26" t="s">
        <v>4800</v>
      </c>
      <c r="F921" s="24" t="s">
        <v>6855</v>
      </c>
      <c r="G921" s="26" t="s">
        <v>6650</v>
      </c>
      <c r="H921" s="26" t="s">
        <v>3120</v>
      </c>
      <c r="I921" s="26"/>
      <c r="J921" s="26"/>
    </row>
    <row r="922" spans="1:10" s="10" customFormat="1" x14ac:dyDescent="0.35">
      <c r="A922" s="26" t="s">
        <v>5326</v>
      </c>
      <c r="B922" s="26" t="s">
        <v>2768</v>
      </c>
      <c r="C922" s="26" t="s">
        <v>2765</v>
      </c>
      <c r="D922" s="24" t="s">
        <v>767</v>
      </c>
      <c r="E922" s="26" t="s">
        <v>3172</v>
      </c>
      <c r="F922" s="26" t="s">
        <v>9692</v>
      </c>
      <c r="G922" s="26" t="s">
        <v>710</v>
      </c>
      <c r="H922" s="26" t="s">
        <v>802</v>
      </c>
      <c r="I922" s="24" t="s">
        <v>2545</v>
      </c>
      <c r="J922" s="26" t="s">
        <v>779</v>
      </c>
    </row>
    <row r="923" spans="1:10" s="10" customFormat="1" x14ac:dyDescent="0.35">
      <c r="A923" s="26" t="s">
        <v>6758</v>
      </c>
      <c r="B923" s="26" t="s">
        <v>2124</v>
      </c>
      <c r="C923" s="27" t="s">
        <v>2129</v>
      </c>
      <c r="D923" s="26" t="s">
        <v>786</v>
      </c>
      <c r="E923" s="26" t="s">
        <v>1981</v>
      </c>
      <c r="F923" s="26" t="s">
        <v>607</v>
      </c>
      <c r="G923" s="26"/>
      <c r="H923" s="26"/>
      <c r="I923" s="26"/>
      <c r="J923" s="26"/>
    </row>
    <row r="924" spans="1:10" x14ac:dyDescent="0.3">
      <c r="A924" s="19" t="s">
        <v>6824</v>
      </c>
      <c r="B924" s="10" t="s">
        <v>1037</v>
      </c>
      <c r="C924" s="10" t="s">
        <v>5912</v>
      </c>
      <c r="D924" s="10" t="s">
        <v>4711</v>
      </c>
      <c r="E924" s="10" t="s">
        <v>4121</v>
      </c>
      <c r="F924" s="10" t="s">
        <v>4697</v>
      </c>
      <c r="G924" s="10" t="s">
        <v>6727</v>
      </c>
      <c r="H924" s="10"/>
      <c r="I924" s="10"/>
      <c r="J924" s="10"/>
    </row>
    <row r="925" spans="1:10" s="10" customFormat="1" x14ac:dyDescent="0.3">
      <c r="A925" s="19" t="s">
        <v>6914</v>
      </c>
      <c r="B925" s="34" t="s">
        <v>1051</v>
      </c>
      <c r="C925" s="10" t="s">
        <v>1055</v>
      </c>
      <c r="D925" s="34" t="s">
        <v>1842</v>
      </c>
      <c r="E925" s="34" t="s">
        <v>2008</v>
      </c>
      <c r="F925" s="34" t="s">
        <v>1581</v>
      </c>
      <c r="G925" s="34" t="s">
        <v>1603</v>
      </c>
      <c r="H925" s="10" t="s">
        <v>7623</v>
      </c>
      <c r="I925" s="10" t="s">
        <v>3132</v>
      </c>
    </row>
    <row r="926" spans="1:10" x14ac:dyDescent="0.3">
      <c r="A926" s="19" t="s">
        <v>6922</v>
      </c>
      <c r="B926" s="10" t="s">
        <v>2139</v>
      </c>
      <c r="C926" s="10" t="s">
        <v>2129</v>
      </c>
      <c r="D926" s="10" t="s">
        <v>3458</v>
      </c>
      <c r="E926" s="10" t="s">
        <v>4936</v>
      </c>
      <c r="F926" s="10" t="s">
        <v>4980</v>
      </c>
      <c r="G926" s="10" t="s">
        <v>3705</v>
      </c>
      <c r="H926" s="10" t="s">
        <v>1568</v>
      </c>
      <c r="I926" s="10" t="s">
        <v>3257</v>
      </c>
      <c r="J926" s="10" t="s">
        <v>9717</v>
      </c>
    </row>
    <row r="927" spans="1:10" x14ac:dyDescent="0.3">
      <c r="A927" s="26" t="s">
        <v>6933</v>
      </c>
      <c r="B927" s="26" t="s">
        <v>5963</v>
      </c>
      <c r="C927" s="26" t="s">
        <v>5177</v>
      </c>
      <c r="D927" s="26" t="s">
        <v>3813</v>
      </c>
    </row>
    <row r="928" spans="1:10" x14ac:dyDescent="0.3">
      <c r="A928" s="19" t="s">
        <v>6939</v>
      </c>
      <c r="B928" s="10" t="s">
        <v>2481</v>
      </c>
      <c r="C928" s="10" t="s">
        <v>3359</v>
      </c>
      <c r="D928" s="10" t="s">
        <v>6606</v>
      </c>
      <c r="E928" s="10"/>
      <c r="F928" s="10"/>
      <c r="G928" s="10"/>
      <c r="H928" s="10"/>
      <c r="I928" s="10"/>
      <c r="J928" s="10"/>
    </row>
    <row r="929" spans="1:10" x14ac:dyDescent="0.3">
      <c r="A929" s="26" t="s">
        <v>6943</v>
      </c>
      <c r="B929" s="26" t="s">
        <v>2115</v>
      </c>
      <c r="C929" s="26" t="s">
        <v>7170</v>
      </c>
      <c r="D929" s="26" t="s">
        <v>7425</v>
      </c>
    </row>
    <row r="930" spans="1:10" x14ac:dyDescent="0.35">
      <c r="A930" s="26" t="s">
        <v>6950</v>
      </c>
      <c r="B930" s="27" t="s">
        <v>4824</v>
      </c>
      <c r="C930" s="27" t="s">
        <v>6389</v>
      </c>
      <c r="D930" s="27" t="s">
        <v>2124</v>
      </c>
      <c r="E930" s="27" t="s">
        <v>2129</v>
      </c>
      <c r="F930" s="26" t="s">
        <v>5893</v>
      </c>
      <c r="G930" s="26" t="s">
        <v>1617</v>
      </c>
      <c r="H930" s="27" t="s">
        <v>1678</v>
      </c>
      <c r="I930" s="26" t="s">
        <v>5071</v>
      </c>
      <c r="J930" s="26" t="s">
        <v>6731</v>
      </c>
    </row>
    <row r="931" spans="1:10" s="10" customFormat="1" x14ac:dyDescent="0.35">
      <c r="A931" s="26" t="s">
        <v>6958</v>
      </c>
      <c r="B931" s="26" t="s">
        <v>5049</v>
      </c>
      <c r="C931" s="27" t="s">
        <v>3159</v>
      </c>
      <c r="D931" s="27" t="s">
        <v>6322</v>
      </c>
      <c r="E931" s="24" t="s">
        <v>2545</v>
      </c>
      <c r="F931" s="26" t="s">
        <v>5326</v>
      </c>
      <c r="G931" s="26" t="s">
        <v>7501</v>
      </c>
      <c r="H931" s="26" t="s">
        <v>9692</v>
      </c>
      <c r="I931" s="24" t="s">
        <v>3168</v>
      </c>
      <c r="J931" s="26"/>
    </row>
    <row r="932" spans="1:10" s="10" customFormat="1" x14ac:dyDescent="0.3">
      <c r="A932" s="26" t="s">
        <v>6977</v>
      </c>
      <c r="B932" s="26" t="s">
        <v>3813</v>
      </c>
      <c r="C932" s="26" t="s">
        <v>3789</v>
      </c>
      <c r="D932" s="26"/>
      <c r="E932" s="26"/>
      <c r="F932" s="26"/>
      <c r="G932" s="26"/>
      <c r="H932" s="26"/>
      <c r="I932" s="26"/>
      <c r="J932" s="26"/>
    </row>
    <row r="933" spans="1:10" x14ac:dyDescent="0.3">
      <c r="A933" s="26" t="s">
        <v>6981</v>
      </c>
      <c r="B933" s="26" t="s">
        <v>7026</v>
      </c>
      <c r="C933" s="26" t="s">
        <v>4765</v>
      </c>
      <c r="D933" s="26" t="s">
        <v>6781</v>
      </c>
      <c r="E933" s="26" t="s">
        <v>3116</v>
      </c>
    </row>
    <row r="934" spans="1:10" s="10" customFormat="1" x14ac:dyDescent="0.3">
      <c r="A934" s="19" t="s">
        <v>6985</v>
      </c>
      <c r="B934" s="10" t="s">
        <v>3345</v>
      </c>
      <c r="C934" s="10" t="s">
        <v>3349</v>
      </c>
      <c r="D934" s="10" t="s">
        <v>779</v>
      </c>
      <c r="E934" s="10" t="s">
        <v>9631</v>
      </c>
      <c r="F934" s="10" t="s">
        <v>5421</v>
      </c>
      <c r="G934" s="10" t="s">
        <v>6684</v>
      </c>
      <c r="H934" s="10" t="s">
        <v>5693</v>
      </c>
      <c r="I934" s="10" t="s">
        <v>2119</v>
      </c>
      <c r="J934" s="10" t="s">
        <v>2115</v>
      </c>
    </row>
    <row r="935" spans="1:10" x14ac:dyDescent="0.3">
      <c r="A935" s="19" t="s">
        <v>6994</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6091</v>
      </c>
      <c r="B936" s="27" t="s">
        <v>2721</v>
      </c>
      <c r="C936" s="26" t="s">
        <v>410</v>
      </c>
      <c r="D936" s="26" t="s">
        <v>7584</v>
      </c>
      <c r="E936" s="26" t="s">
        <v>4980</v>
      </c>
      <c r="F936" s="26" t="s">
        <v>6385</v>
      </c>
      <c r="G936" s="24" t="s">
        <v>7282</v>
      </c>
      <c r="H936" s="26"/>
      <c r="I936" s="26"/>
      <c r="J936" s="26"/>
    </row>
    <row r="937" spans="1:10" s="10" customFormat="1" x14ac:dyDescent="0.3">
      <c r="A937" s="19" t="s">
        <v>7003</v>
      </c>
      <c r="B937" s="10" t="s">
        <v>3458</v>
      </c>
      <c r="C937" s="10" t="s">
        <v>2846</v>
      </c>
      <c r="D937" s="10" t="s">
        <v>2862</v>
      </c>
      <c r="E937" s="10" t="s">
        <v>2852</v>
      </c>
      <c r="F937" s="10" t="s">
        <v>2871</v>
      </c>
      <c r="G937" s="10" t="s">
        <v>2884</v>
      </c>
      <c r="H937" s="10" t="s">
        <v>6731</v>
      </c>
      <c r="I937" s="10" t="s">
        <v>5344</v>
      </c>
    </row>
    <row r="938" spans="1:10" x14ac:dyDescent="0.3">
      <c r="A938" s="26" t="s">
        <v>7014</v>
      </c>
      <c r="B938" s="26" t="s">
        <v>9448</v>
      </c>
      <c r="C938" s="26" t="s">
        <v>1829</v>
      </c>
      <c r="D938" s="26" t="s">
        <v>3414</v>
      </c>
      <c r="E938" s="26" t="s">
        <v>23</v>
      </c>
      <c r="F938" s="26" t="s">
        <v>6572</v>
      </c>
      <c r="G938" s="26" t="s">
        <v>7617</v>
      </c>
      <c r="H938" s="26" t="s">
        <v>1568</v>
      </c>
      <c r="I938" s="26" t="s">
        <v>4379</v>
      </c>
    </row>
    <row r="939" spans="1:10" s="10" customFormat="1" x14ac:dyDescent="0.3">
      <c r="A939" s="19" t="s">
        <v>7026</v>
      </c>
      <c r="B939" s="10" t="s">
        <v>1029</v>
      </c>
      <c r="C939" s="10" t="s">
        <v>3116</v>
      </c>
      <c r="D939" s="10" t="s">
        <v>5951</v>
      </c>
      <c r="E939" s="10" t="s">
        <v>6914</v>
      </c>
      <c r="F939" s="10" t="s">
        <v>3548</v>
      </c>
      <c r="G939" s="10" t="s">
        <v>6824</v>
      </c>
      <c r="H939" s="10" t="s">
        <v>3481</v>
      </c>
    </row>
    <row r="940" spans="1:10" s="10" customFormat="1" x14ac:dyDescent="0.3">
      <c r="A940" s="19" t="s">
        <v>7030</v>
      </c>
      <c r="B940" s="34" t="s">
        <v>415</v>
      </c>
      <c r="C940" s="10" t="s">
        <v>2317</v>
      </c>
      <c r="D940" s="10" t="s">
        <v>2329</v>
      </c>
      <c r="E940" s="10" t="s">
        <v>9448</v>
      </c>
      <c r="F940" s="10" t="s">
        <v>2333</v>
      </c>
      <c r="G940" s="10" t="s">
        <v>3304</v>
      </c>
      <c r="H940" s="10" t="s">
        <v>9449</v>
      </c>
    </row>
    <row r="941" spans="1:10" x14ac:dyDescent="0.3">
      <c r="A941" s="26" t="s">
        <v>7042</v>
      </c>
      <c r="B941" s="26" t="s">
        <v>4751</v>
      </c>
      <c r="C941" s="26" t="s">
        <v>3813</v>
      </c>
      <c r="D941" s="26" t="s">
        <v>4832</v>
      </c>
      <c r="E941" s="26" t="s">
        <v>3434</v>
      </c>
    </row>
    <row r="942" spans="1:10" x14ac:dyDescent="0.3">
      <c r="A942" s="19" t="s">
        <v>7046</v>
      </c>
      <c r="B942" s="10" t="s">
        <v>4559</v>
      </c>
      <c r="C942" s="10" t="s">
        <v>324</v>
      </c>
      <c r="D942" s="10" t="s">
        <v>2407</v>
      </c>
      <c r="E942" s="10" t="s">
        <v>1711</v>
      </c>
      <c r="F942" s="10" t="s">
        <v>1703</v>
      </c>
      <c r="G942" s="10"/>
      <c r="H942" s="10"/>
      <c r="I942" s="10"/>
      <c r="J942" s="10"/>
    </row>
    <row r="943" spans="1:10" s="10" customFormat="1" x14ac:dyDescent="0.3">
      <c r="A943" s="19" t="s">
        <v>7056</v>
      </c>
      <c r="B943" s="10" t="s">
        <v>2124</v>
      </c>
      <c r="C943" s="10" t="s">
        <v>1008</v>
      </c>
      <c r="D943" s="10" t="s">
        <v>4441</v>
      </c>
      <c r="E943" s="10" t="s">
        <v>6314</v>
      </c>
      <c r="F943" s="10" t="s">
        <v>473</v>
      </c>
    </row>
    <row r="944" spans="1:10" s="10" customFormat="1" x14ac:dyDescent="0.35">
      <c r="A944" s="26" t="s">
        <v>7064</v>
      </c>
      <c r="B944" s="27" t="s">
        <v>6373</v>
      </c>
      <c r="C944" s="27" t="s">
        <v>2119</v>
      </c>
      <c r="D944" s="26" t="s">
        <v>4960</v>
      </c>
      <c r="E944" s="26"/>
      <c r="F944" s="26"/>
      <c r="G944" s="26"/>
      <c r="H944" s="26"/>
      <c r="I944" s="26"/>
      <c r="J944" s="26"/>
    </row>
    <row r="945" spans="1:10" x14ac:dyDescent="0.3">
      <c r="A945" s="26" t="s">
        <v>7077</v>
      </c>
      <c r="B945" s="26" t="s">
        <v>4719</v>
      </c>
      <c r="C945" s="26" t="s">
        <v>7198</v>
      </c>
      <c r="D945" s="26" t="s">
        <v>9520</v>
      </c>
      <c r="E945" s="26" t="s">
        <v>2811</v>
      </c>
      <c r="F945" s="26" t="s">
        <v>1648</v>
      </c>
      <c r="G945" s="26" t="s">
        <v>1669</v>
      </c>
      <c r="H945" s="26" t="s">
        <v>1678</v>
      </c>
    </row>
    <row r="946" spans="1:10" x14ac:dyDescent="0.3">
      <c r="A946" s="19" t="s">
        <v>7085</v>
      </c>
      <c r="B946" s="10" t="s">
        <v>4888</v>
      </c>
      <c r="C946" s="10" t="s">
        <v>2607</v>
      </c>
      <c r="D946" s="10" t="s">
        <v>3603</v>
      </c>
      <c r="E946" s="10" t="s">
        <v>3767</v>
      </c>
      <c r="F946" s="10"/>
      <c r="G946" s="10"/>
      <c r="H946" s="10"/>
      <c r="I946" s="10"/>
      <c r="J946" s="10"/>
    </row>
    <row r="947" spans="1:10" x14ac:dyDescent="0.3">
      <c r="A947" s="19" t="s">
        <v>7100</v>
      </c>
      <c r="B947" s="10" t="s">
        <v>415</v>
      </c>
      <c r="C947" s="10" t="s">
        <v>2119</v>
      </c>
      <c r="D947" s="10" t="s">
        <v>2115</v>
      </c>
      <c r="E947" s="10" t="s">
        <v>6306</v>
      </c>
      <c r="F947" s="10" t="s">
        <v>2846</v>
      </c>
      <c r="G947" s="10" t="s">
        <v>2862</v>
      </c>
      <c r="H947" s="10" t="s">
        <v>2852</v>
      </c>
      <c r="I947" s="10" t="s">
        <v>2884</v>
      </c>
      <c r="J947" s="10" t="s">
        <v>2871</v>
      </c>
    </row>
    <row r="948" spans="1:10" x14ac:dyDescent="0.3">
      <c r="A948" s="26" t="s">
        <v>7107</v>
      </c>
      <c r="B948" s="26" t="s">
        <v>7119</v>
      </c>
      <c r="C948" s="26" t="s">
        <v>6252</v>
      </c>
      <c r="D948" s="26" t="s">
        <v>6602</v>
      </c>
      <c r="E948" s="26" t="s">
        <v>6731</v>
      </c>
    </row>
    <row r="949" spans="1:10" x14ac:dyDescent="0.3">
      <c r="A949" s="26" t="s">
        <v>7123</v>
      </c>
      <c r="B949" s="26" t="s">
        <v>3466</v>
      </c>
      <c r="C949" s="26" t="s">
        <v>6800</v>
      </c>
      <c r="D949" s="26" t="s">
        <v>5726</v>
      </c>
      <c r="E949" s="26" t="s">
        <v>3813</v>
      </c>
    </row>
    <row r="950" spans="1:10" x14ac:dyDescent="0.35">
      <c r="A950" s="26" t="s">
        <v>7131</v>
      </c>
      <c r="B950" s="26" t="s">
        <v>4944</v>
      </c>
      <c r="C950" s="24" t="s">
        <v>459</v>
      </c>
      <c r="D950" s="26" t="s">
        <v>1718</v>
      </c>
      <c r="E950" s="26" t="s">
        <v>2721</v>
      </c>
    </row>
    <row r="951" spans="1:10" x14ac:dyDescent="0.3">
      <c r="A951" s="26" t="s">
        <v>7135</v>
      </c>
      <c r="B951" s="26" t="s">
        <v>6772</v>
      </c>
      <c r="C951" s="26" t="s">
        <v>6222</v>
      </c>
      <c r="D951" s="26" t="s">
        <v>6994</v>
      </c>
      <c r="E951" s="26" t="s">
        <v>5912</v>
      </c>
      <c r="F951" s="26" t="s">
        <v>3857</v>
      </c>
      <c r="G951" s="26" t="s">
        <v>3112</v>
      </c>
      <c r="H951" s="26" t="s">
        <v>670</v>
      </c>
      <c r="I951" s="26" t="s">
        <v>7584</v>
      </c>
    </row>
    <row r="952" spans="1:10" x14ac:dyDescent="0.35">
      <c r="A952" s="26" t="s">
        <v>7139</v>
      </c>
      <c r="B952" s="26" t="s">
        <v>1648</v>
      </c>
      <c r="C952" s="27" t="s">
        <v>2119</v>
      </c>
      <c r="D952" s="27"/>
    </row>
    <row r="953" spans="1:10" x14ac:dyDescent="0.3">
      <c r="A953" s="26" t="s">
        <v>7146</v>
      </c>
      <c r="B953" s="26" t="s">
        <v>7617</v>
      </c>
      <c r="C953" s="26" t="s">
        <v>6572</v>
      </c>
      <c r="D953" s="26" t="s">
        <v>3200</v>
      </c>
      <c r="E953" s="26" t="s">
        <v>5912</v>
      </c>
      <c r="F953" s="26" t="s">
        <v>6742</v>
      </c>
    </row>
    <row r="954" spans="1:10" s="10" customFormat="1" x14ac:dyDescent="0.3">
      <c r="A954" s="26" t="s">
        <v>7153</v>
      </c>
      <c r="B954" s="26" t="s">
        <v>2333</v>
      </c>
      <c r="C954" s="26" t="s">
        <v>7282</v>
      </c>
      <c r="D954" s="26"/>
      <c r="E954" s="26"/>
      <c r="F954" s="26"/>
      <c r="G954" s="26"/>
      <c r="H954" s="26"/>
      <c r="I954" s="26"/>
      <c r="J954" s="26"/>
    </row>
    <row r="955" spans="1:10" x14ac:dyDescent="0.3">
      <c r="A955" s="26" t="s">
        <v>7160</v>
      </c>
      <c r="B955" s="26" t="s">
        <v>7026</v>
      </c>
      <c r="C955" s="26" t="s">
        <v>4765</v>
      </c>
      <c r="D955" s="26" t="s">
        <v>6781</v>
      </c>
      <c r="E955" s="26" t="s">
        <v>3116</v>
      </c>
      <c r="F955" s="26" t="s">
        <v>4039</v>
      </c>
      <c r="G955" s="26" t="s">
        <v>6202</v>
      </c>
    </row>
    <row r="956" spans="1:10" x14ac:dyDescent="0.3">
      <c r="A956" s="26" t="s">
        <v>7164</v>
      </c>
      <c r="B956" s="26" t="s">
        <v>3603</v>
      </c>
    </row>
    <row r="957" spans="1:10" x14ac:dyDescent="0.3">
      <c r="A957" s="19" t="s">
        <v>7170</v>
      </c>
      <c r="B957" s="34" t="s">
        <v>1037</v>
      </c>
      <c r="C957" s="10" t="s">
        <v>6719</v>
      </c>
      <c r="D957" s="10" t="s">
        <v>6789</v>
      </c>
      <c r="E957" s="10" t="s">
        <v>7425</v>
      </c>
      <c r="F957" s="10"/>
      <c r="G957" s="10"/>
      <c r="H957" s="10"/>
      <c r="I957" s="10"/>
      <c r="J957" s="10"/>
    </row>
    <row r="958" spans="1:10" x14ac:dyDescent="0.3">
      <c r="A958" s="26" t="s">
        <v>7185</v>
      </c>
      <c r="B958" s="26" t="s">
        <v>7425</v>
      </c>
      <c r="C958" s="26" t="s">
        <v>7170</v>
      </c>
      <c r="D958" s="26" t="s">
        <v>1037</v>
      </c>
    </row>
    <row r="959" spans="1:10" x14ac:dyDescent="0.3">
      <c r="A959" s="26" t="s">
        <v>7190</v>
      </c>
      <c r="B959" s="26" t="s">
        <v>1729</v>
      </c>
      <c r="C959" s="26" t="s">
        <v>6351</v>
      </c>
      <c r="D959" s="26" t="s">
        <v>1736</v>
      </c>
      <c r="E959" s="26" t="s">
        <v>5512</v>
      </c>
      <c r="F959" s="26" t="s">
        <v>5244</v>
      </c>
    </row>
    <row r="960" spans="1:10" s="10" customFormat="1" x14ac:dyDescent="0.3">
      <c r="A960" s="26" t="s">
        <v>7198</v>
      </c>
      <c r="B960" s="26" t="s">
        <v>9520</v>
      </c>
      <c r="C960" s="26" t="s">
        <v>5466</v>
      </c>
      <c r="D960" s="26" t="s">
        <v>2846</v>
      </c>
      <c r="E960" s="26" t="s">
        <v>2834</v>
      </c>
      <c r="F960" s="26" t="s">
        <v>2859</v>
      </c>
      <c r="G960" s="26" t="s">
        <v>5016</v>
      </c>
      <c r="H960" s="26"/>
      <c r="I960" s="26"/>
      <c r="J960" s="26"/>
    </row>
    <row r="961" spans="1:10" x14ac:dyDescent="0.3">
      <c r="A961" s="26" t="s">
        <v>7206</v>
      </c>
      <c r="B961" s="26" t="s">
        <v>3886</v>
      </c>
      <c r="C961" s="26" t="s">
        <v>3813</v>
      </c>
      <c r="D961" s="26" t="s">
        <v>3865</v>
      </c>
      <c r="E961" s="26" t="s">
        <v>4956</v>
      </c>
      <c r="F961" s="26" t="s">
        <v>3720</v>
      </c>
      <c r="G961" s="26" t="s">
        <v>3112</v>
      </c>
      <c r="H961" s="26" t="s">
        <v>670</v>
      </c>
    </row>
    <row r="962" spans="1:10" s="10" customFormat="1" x14ac:dyDescent="0.3">
      <c r="A962" s="26" t="s">
        <v>7212</v>
      </c>
      <c r="B962" s="26" t="s">
        <v>2333</v>
      </c>
      <c r="C962" s="26" t="s">
        <v>4960</v>
      </c>
      <c r="D962" s="26" t="s">
        <v>7278</v>
      </c>
      <c r="E962" s="26" t="s">
        <v>7085</v>
      </c>
      <c r="F962" s="26" t="s">
        <v>7436</v>
      </c>
      <c r="G962" s="26"/>
      <c r="H962" s="26"/>
      <c r="I962" s="26"/>
      <c r="J962" s="26"/>
    </row>
    <row r="963" spans="1:10" x14ac:dyDescent="0.3">
      <c r="A963" s="19" t="s">
        <v>7221</v>
      </c>
      <c r="B963" s="10" t="s">
        <v>34</v>
      </c>
      <c r="C963" s="10" t="s">
        <v>7368</v>
      </c>
      <c r="D963" s="10" t="s">
        <v>6824</v>
      </c>
      <c r="E963" s="10" t="s">
        <v>6256</v>
      </c>
      <c r="F963" s="10" t="s">
        <v>3831</v>
      </c>
      <c r="G963" s="10"/>
      <c r="H963" s="10"/>
      <c r="I963" s="10"/>
      <c r="J963" s="10"/>
    </row>
    <row r="964" spans="1:10" x14ac:dyDescent="0.3">
      <c r="A964" s="26" t="s">
        <v>7227</v>
      </c>
      <c r="B964" s="26" t="s">
        <v>5663</v>
      </c>
      <c r="C964" s="26" t="s">
        <v>3990</v>
      </c>
      <c r="D964" s="26" t="s">
        <v>6552</v>
      </c>
    </row>
    <row r="965" spans="1:10" s="10" customFormat="1" x14ac:dyDescent="0.3">
      <c r="A965" s="19" t="s">
        <v>7231</v>
      </c>
      <c r="B965" s="10" t="s">
        <v>1736</v>
      </c>
      <c r="C965" s="10" t="s">
        <v>9614</v>
      </c>
      <c r="D965" s="10" t="s">
        <v>2407</v>
      </c>
      <c r="E965" s="10" t="s">
        <v>324</v>
      </c>
      <c r="F965" s="10" t="s">
        <v>1051</v>
      </c>
      <c r="G965" s="10" t="s">
        <v>1073</v>
      </c>
    </row>
    <row r="966" spans="1:10" x14ac:dyDescent="0.3">
      <c r="A966" s="26" t="s">
        <v>7253</v>
      </c>
      <c r="B966" s="26" t="s">
        <v>5837</v>
      </c>
      <c r="C966" s="26" t="s">
        <v>2119</v>
      </c>
      <c r="D966" s="26" t="s">
        <v>7294</v>
      </c>
    </row>
    <row r="967" spans="1:10" x14ac:dyDescent="0.35">
      <c r="A967" s="26" t="s">
        <v>7268</v>
      </c>
      <c r="B967" s="26" t="s">
        <v>6373</v>
      </c>
      <c r="C967" s="26" t="s">
        <v>2129</v>
      </c>
      <c r="D967" s="27" t="s">
        <v>2139</v>
      </c>
      <c r="G967" s="27"/>
    </row>
    <row r="968" spans="1:10" x14ac:dyDescent="0.3">
      <c r="A968" s="19" t="s">
        <v>7278</v>
      </c>
      <c r="B968" s="10" t="s">
        <v>3116</v>
      </c>
      <c r="C968" s="10" t="s">
        <v>3481</v>
      </c>
      <c r="D968" s="10" t="s">
        <v>4065</v>
      </c>
      <c r="E968" s="10" t="s">
        <v>3588</v>
      </c>
      <c r="F968" s="10" t="s">
        <v>6950</v>
      </c>
      <c r="G968" s="10" t="s">
        <v>3759</v>
      </c>
      <c r="H968" s="10"/>
      <c r="I968" s="10"/>
      <c r="J968" s="10"/>
    </row>
    <row r="969" spans="1:10" x14ac:dyDescent="0.35">
      <c r="A969" s="26" t="s">
        <v>7282</v>
      </c>
      <c r="B969" s="26" t="s">
        <v>6385</v>
      </c>
      <c r="C969" s="26" t="s">
        <v>4653</v>
      </c>
      <c r="D969" s="26" t="s">
        <v>7153</v>
      </c>
      <c r="E969" s="26" t="s">
        <v>6789</v>
      </c>
      <c r="F969" s="26" t="s">
        <v>4792</v>
      </c>
      <c r="G969" s="26" t="s">
        <v>2333</v>
      </c>
      <c r="H969" s="24" t="s">
        <v>7505</v>
      </c>
    </row>
    <row r="970" spans="1:10" s="10" customFormat="1" x14ac:dyDescent="0.35">
      <c r="A970" s="26" t="s">
        <v>7286</v>
      </c>
      <c r="B970" s="27" t="s">
        <v>6839</v>
      </c>
      <c r="C970" s="27" t="s">
        <v>1042</v>
      </c>
      <c r="D970" s="26"/>
      <c r="E970" s="26"/>
      <c r="F970" s="26"/>
      <c r="G970" s="26"/>
      <c r="H970" s="26"/>
      <c r="I970" s="26"/>
      <c r="J970" s="26"/>
    </row>
    <row r="971" spans="1:10" x14ac:dyDescent="0.3">
      <c r="A971" s="26" t="s">
        <v>7294</v>
      </c>
      <c r="B971" s="26" t="s">
        <v>2119</v>
      </c>
      <c r="C971" s="26" t="s">
        <v>2124</v>
      </c>
      <c r="D971" s="26" t="s">
        <v>4808</v>
      </c>
    </row>
    <row r="972" spans="1:10" x14ac:dyDescent="0.35">
      <c r="A972" s="26" t="s">
        <v>6368</v>
      </c>
      <c r="B972" s="26" t="s">
        <v>4129</v>
      </c>
      <c r="C972" s="27" t="s">
        <v>2156</v>
      </c>
      <c r="D972" s="27" t="s">
        <v>2292</v>
      </c>
      <c r="E972" s="27" t="s">
        <v>5380</v>
      </c>
      <c r="F972" s="27" t="s">
        <v>2124</v>
      </c>
      <c r="G972" s="26" t="s">
        <v>9462</v>
      </c>
      <c r="H972" s="26" t="s">
        <v>1474</v>
      </c>
      <c r="I972" s="26" t="s">
        <v>4784</v>
      </c>
      <c r="J972" s="26" t="s">
        <v>6123</v>
      </c>
    </row>
    <row r="973" spans="1:10" x14ac:dyDescent="0.3">
      <c r="A973" s="19" t="s">
        <v>7307</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7327</v>
      </c>
      <c r="B974" s="26" t="s">
        <v>3789</v>
      </c>
      <c r="C974" s="26" t="s">
        <v>5396</v>
      </c>
      <c r="D974" s="26" t="s">
        <v>5244</v>
      </c>
      <c r="E974" s="26" t="s">
        <v>6351</v>
      </c>
      <c r="F974" s="26"/>
      <c r="G974" s="26"/>
      <c r="H974" s="26"/>
      <c r="I974" s="26"/>
      <c r="J974" s="26"/>
    </row>
    <row r="975" spans="1:10" x14ac:dyDescent="0.3">
      <c r="A975" s="26" t="s">
        <v>7333</v>
      </c>
      <c r="B975" s="26" t="s">
        <v>2119</v>
      </c>
      <c r="C975" s="26" t="s">
        <v>2124</v>
      </c>
    </row>
    <row r="976" spans="1:10" s="10" customFormat="1" x14ac:dyDescent="0.3">
      <c r="A976" s="26" t="s">
        <v>7343</v>
      </c>
      <c r="B976" s="26" t="s">
        <v>2119</v>
      </c>
      <c r="C976" s="26" t="s">
        <v>6277</v>
      </c>
      <c r="D976" s="26" t="s">
        <v>1269</v>
      </c>
      <c r="E976" s="26" t="s">
        <v>1257</v>
      </c>
      <c r="F976" s="26" t="s">
        <v>1265</v>
      </c>
      <c r="G976" s="26"/>
      <c r="H976" s="26"/>
      <c r="I976" s="26"/>
      <c r="J976" s="26"/>
    </row>
    <row r="977" spans="1:10" s="10" customFormat="1" x14ac:dyDescent="0.3">
      <c r="A977" s="19" t="s">
        <v>7351</v>
      </c>
      <c r="B977" s="10" t="s">
        <v>2119</v>
      </c>
      <c r="C977" s="10" t="s">
        <v>2129</v>
      </c>
      <c r="D977" s="10" t="s">
        <v>4129</v>
      </c>
      <c r="E977" s="10" t="s">
        <v>6059</v>
      </c>
    </row>
    <row r="978" spans="1:10" s="10" customFormat="1" x14ac:dyDescent="0.3">
      <c r="A978" s="26" t="s">
        <v>7358</v>
      </c>
      <c r="B978" s="26" t="s">
        <v>2119</v>
      </c>
      <c r="C978" s="26" t="s">
        <v>2115</v>
      </c>
      <c r="D978" s="26" t="s">
        <v>5124</v>
      </c>
      <c r="E978" s="26" t="s">
        <v>7584</v>
      </c>
      <c r="F978" s="26"/>
      <c r="G978" s="26"/>
      <c r="H978" s="26"/>
      <c r="I978" s="26"/>
      <c r="J978" s="26"/>
    </row>
    <row r="979" spans="1:10" s="10" customFormat="1" x14ac:dyDescent="0.3">
      <c r="A979" s="19" t="s">
        <v>7374</v>
      </c>
      <c r="B979" s="10" t="s">
        <v>6650</v>
      </c>
      <c r="C979" s="10" t="s">
        <v>5112</v>
      </c>
      <c r="D979" s="10" t="s">
        <v>1837</v>
      </c>
      <c r="E979" s="10" t="s">
        <v>3218</v>
      </c>
      <c r="F979" s="10" t="s">
        <v>2107</v>
      </c>
      <c r="G979" s="34" t="s">
        <v>2103</v>
      </c>
      <c r="H979" s="34" t="s">
        <v>1430</v>
      </c>
    </row>
    <row r="980" spans="1:10" s="10" customFormat="1" x14ac:dyDescent="0.3">
      <c r="A980" s="19" t="s">
        <v>7385</v>
      </c>
      <c r="B980" s="34" t="s">
        <v>458</v>
      </c>
      <c r="C980" s="10" t="s">
        <v>415</v>
      </c>
      <c r="D980" s="10" t="s">
        <v>3596</v>
      </c>
      <c r="E980" s="10" t="s">
        <v>7170</v>
      </c>
    </row>
    <row r="981" spans="1:10" x14ac:dyDescent="0.3">
      <c r="A981" s="19" t="s">
        <v>7400</v>
      </c>
      <c r="B981" s="10" t="s">
        <v>415</v>
      </c>
      <c r="C981" s="10" t="s">
        <v>2280</v>
      </c>
      <c r="D981" s="34" t="s">
        <v>1829</v>
      </c>
      <c r="E981" s="34" t="s">
        <v>9406</v>
      </c>
      <c r="F981" s="10" t="s">
        <v>2732</v>
      </c>
      <c r="G981" s="10" t="s">
        <v>4161</v>
      </c>
      <c r="H981" s="10" t="s">
        <v>5227</v>
      </c>
      <c r="I981" s="10"/>
      <c r="J981" s="10"/>
    </row>
    <row r="982" spans="1:10" s="10" customFormat="1" x14ac:dyDescent="0.3">
      <c r="A982" s="19" t="s">
        <v>7405</v>
      </c>
      <c r="B982" s="10" t="s">
        <v>34</v>
      </c>
      <c r="C982" s="10" t="s">
        <v>630</v>
      </c>
      <c r="D982" s="10" t="s">
        <v>642</v>
      </c>
      <c r="E982" s="10" t="s">
        <v>6922</v>
      </c>
      <c r="F982" s="10" t="s">
        <v>4936</v>
      </c>
      <c r="G982" s="10" t="s">
        <v>4980</v>
      </c>
      <c r="H982" s="10" t="s">
        <v>6914</v>
      </c>
      <c r="I982" s="10" t="s">
        <v>3548</v>
      </c>
    </row>
    <row r="983" spans="1:10" x14ac:dyDescent="0.3">
      <c r="A983" s="19" t="s">
        <v>7425</v>
      </c>
      <c r="B983" s="10" t="s">
        <v>1037</v>
      </c>
      <c r="C983" s="34" t="s">
        <v>6727</v>
      </c>
      <c r="D983" s="34" t="s">
        <v>6719</v>
      </c>
      <c r="E983" s="10" t="s">
        <v>458</v>
      </c>
      <c r="F983" s="10" t="s">
        <v>1169</v>
      </c>
      <c r="G983" s="10" t="s">
        <v>5388</v>
      </c>
      <c r="H983" s="10" t="s">
        <v>69</v>
      </c>
      <c r="I983" s="10" t="s">
        <v>1622</v>
      </c>
      <c r="J983" s="10" t="s">
        <v>1257</v>
      </c>
    </row>
    <row r="984" spans="1:10" x14ac:dyDescent="0.3">
      <c r="A984" s="26" t="s">
        <v>7432</v>
      </c>
      <c r="B984" s="26" t="s">
        <v>6857</v>
      </c>
      <c r="C984" s="26" t="s">
        <v>5259</v>
      </c>
      <c r="D984" s="26" t="s">
        <v>1661</v>
      </c>
      <c r="E984" s="26" t="s">
        <v>2884</v>
      </c>
      <c r="F984" s="26" t="s">
        <v>1931</v>
      </c>
      <c r="G984" s="26" t="s">
        <v>4523</v>
      </c>
      <c r="H984" s="26" t="s">
        <v>1923</v>
      </c>
      <c r="I984" s="26" t="s">
        <v>1915</v>
      </c>
      <c r="J984" s="26" t="s">
        <v>2639</v>
      </c>
    </row>
    <row r="985" spans="1:10" s="10" customFormat="1" x14ac:dyDescent="0.3">
      <c r="A985" s="19" t="s">
        <v>7436</v>
      </c>
      <c r="B985" s="10" t="s">
        <v>6692</v>
      </c>
      <c r="C985" s="34" t="s">
        <v>5768</v>
      </c>
      <c r="D985" s="10" t="s">
        <v>3767</v>
      </c>
      <c r="E985" s="10" t="s">
        <v>3458</v>
      </c>
      <c r="F985" s="10" t="s">
        <v>6914</v>
      </c>
      <c r="G985" s="10" t="s">
        <v>3548</v>
      </c>
      <c r="H985" s="10" t="s">
        <v>4065</v>
      </c>
      <c r="I985" s="10" t="s">
        <v>6939</v>
      </c>
      <c r="J985" s="10" t="s">
        <v>3796</v>
      </c>
    </row>
    <row r="986" spans="1:10" x14ac:dyDescent="0.3">
      <c r="A986" s="26" t="s">
        <v>6731</v>
      </c>
      <c r="B986" s="26" t="s">
        <v>6602</v>
      </c>
      <c r="C986" s="26" t="s">
        <v>6256</v>
      </c>
      <c r="D986" s="26" t="s">
        <v>646</v>
      </c>
      <c r="E986" s="26" t="s">
        <v>2884</v>
      </c>
      <c r="F986" s="26" t="s">
        <v>2893</v>
      </c>
      <c r="G986" s="26" t="s">
        <v>1499</v>
      </c>
      <c r="H986" s="26" t="s">
        <v>6785</v>
      </c>
      <c r="I986" s="26" t="s">
        <v>4841</v>
      </c>
    </row>
    <row r="987" spans="1:10" x14ac:dyDescent="0.3">
      <c r="A987" s="26" t="s">
        <v>6548</v>
      </c>
      <c r="B987" s="26" t="s">
        <v>4816</v>
      </c>
      <c r="C987" s="26" t="s">
        <v>2156</v>
      </c>
      <c r="D987" s="26" t="s">
        <v>4622</v>
      </c>
      <c r="E987" s="26" t="s">
        <v>6368</v>
      </c>
      <c r="F987" s="26" t="s">
        <v>4527</v>
      </c>
    </row>
    <row r="988" spans="1:10" x14ac:dyDescent="0.3">
      <c r="A988" s="10" t="s">
        <v>1175</v>
      </c>
      <c r="B988" s="10" t="s">
        <v>1169</v>
      </c>
      <c r="C988" s="10" t="s">
        <v>278</v>
      </c>
      <c r="D988" s="10" t="s">
        <v>2825</v>
      </c>
      <c r="E988" s="10" t="s">
        <v>1585</v>
      </c>
      <c r="F988" s="10" t="s">
        <v>3327</v>
      </c>
      <c r="G988" s="10" t="s">
        <v>5401</v>
      </c>
      <c r="H988" s="34" t="s">
        <v>2907</v>
      </c>
      <c r="I988" s="10" t="s">
        <v>6914</v>
      </c>
      <c r="J988" s="10"/>
    </row>
    <row r="989" spans="1:10" x14ac:dyDescent="0.3">
      <c r="A989" s="26" t="s">
        <v>5153</v>
      </c>
      <c r="B989" s="26" t="s">
        <v>4637</v>
      </c>
      <c r="C989" s="26" t="s">
        <v>1678</v>
      </c>
      <c r="D989" s="26" t="s">
        <v>1617</v>
      </c>
      <c r="E989" s="26" t="s">
        <v>5893</v>
      </c>
      <c r="F989" s="26" t="s">
        <v>1639</v>
      </c>
      <c r="G989" s="26" t="s">
        <v>6004</v>
      </c>
    </row>
    <row r="990" spans="1:10" x14ac:dyDescent="0.3">
      <c r="A990" s="26" t="s">
        <v>6552</v>
      </c>
      <c r="B990" s="26" t="s">
        <v>5591</v>
      </c>
      <c r="C990" s="26" t="s">
        <v>3990</v>
      </c>
      <c r="D990" s="26" t="s">
        <v>5663</v>
      </c>
      <c r="E990" s="26" t="s">
        <v>6389</v>
      </c>
    </row>
    <row r="991" spans="1:10" s="10" customFormat="1" x14ac:dyDescent="0.35">
      <c r="A991" s="26" t="s">
        <v>794</v>
      </c>
      <c r="B991" s="26" t="s">
        <v>746</v>
      </c>
      <c r="C991" s="27" t="s">
        <v>756</v>
      </c>
      <c r="D991" s="27" t="s">
        <v>750</v>
      </c>
      <c r="E991" s="27" t="s">
        <v>753</v>
      </c>
      <c r="F991" s="27" t="s">
        <v>737</v>
      </c>
      <c r="G991" s="27" t="s">
        <v>733</v>
      </c>
      <c r="H991" s="27" t="s">
        <v>6172</v>
      </c>
      <c r="I991" s="24" t="s">
        <v>767</v>
      </c>
      <c r="J991" s="26" t="s">
        <v>9692</v>
      </c>
    </row>
    <row r="992" spans="1:10" x14ac:dyDescent="0.35">
      <c r="A992" s="26" t="s">
        <v>5161</v>
      </c>
      <c r="B992" s="26" t="s">
        <v>6602</v>
      </c>
      <c r="C992" s="27" t="s">
        <v>2753</v>
      </c>
      <c r="D992" s="27" t="s">
        <v>1499</v>
      </c>
      <c r="E992" s="27" t="s">
        <v>6731</v>
      </c>
      <c r="F992" s="26" t="s">
        <v>6572</v>
      </c>
      <c r="G992" s="24" t="s">
        <v>2797</v>
      </c>
      <c r="H992" s="26" t="s">
        <v>2786</v>
      </c>
    </row>
    <row r="993" spans="1:10" x14ac:dyDescent="0.3">
      <c r="A993" s="26" t="s">
        <v>5169</v>
      </c>
      <c r="B993" s="26" t="s">
        <v>2481</v>
      </c>
      <c r="C993" s="26" t="s">
        <v>1622</v>
      </c>
      <c r="D993" s="26" t="s">
        <v>1627</v>
      </c>
    </row>
    <row r="994" spans="1:10" s="10" customFormat="1" x14ac:dyDescent="0.3">
      <c r="A994" s="10" t="s">
        <v>2834</v>
      </c>
      <c r="B994" s="10" t="s">
        <v>5041</v>
      </c>
      <c r="C994" s="10" t="s">
        <v>646</v>
      </c>
      <c r="D994" s="10" t="s">
        <v>2129</v>
      </c>
    </row>
    <row r="995" spans="1:10" s="10" customFormat="1" x14ac:dyDescent="0.3">
      <c r="A995" s="26" t="s">
        <v>6555</v>
      </c>
      <c r="B995" s="26" t="s">
        <v>6475</v>
      </c>
      <c r="C995" s="26" t="s">
        <v>3262</v>
      </c>
      <c r="D995" s="26" t="s">
        <v>820</v>
      </c>
      <c r="E995" s="26"/>
      <c r="F995" s="26"/>
      <c r="G995" s="26"/>
      <c r="H995" s="26"/>
      <c r="I995" s="26"/>
      <c r="J995" s="26"/>
    </row>
    <row r="996" spans="1:10" x14ac:dyDescent="0.3">
      <c r="A996" s="26" t="s">
        <v>7396</v>
      </c>
      <c r="B996" s="26" t="s">
        <v>2710</v>
      </c>
    </row>
    <row r="997" spans="1:10" s="10" customFormat="1" x14ac:dyDescent="0.3">
      <c r="A997" s="19" t="s">
        <v>2280</v>
      </c>
      <c r="B997" s="10" t="s">
        <v>458</v>
      </c>
      <c r="C997" s="10" t="s">
        <v>2732</v>
      </c>
      <c r="D997" s="10" t="s">
        <v>4161</v>
      </c>
      <c r="E997" s="10" t="s">
        <v>9406</v>
      </c>
      <c r="F997" s="10" t="s">
        <v>1829</v>
      </c>
      <c r="G997" s="10" t="s">
        <v>7400</v>
      </c>
    </row>
    <row r="998" spans="1:10" x14ac:dyDescent="0.3">
      <c r="A998" s="10" t="s">
        <v>6560</v>
      </c>
      <c r="B998" s="10" t="s">
        <v>5259</v>
      </c>
      <c r="C998" s="10" t="s">
        <v>6876</v>
      </c>
      <c r="D998" s="10" t="s">
        <v>6035</v>
      </c>
      <c r="E998" s="10" t="s">
        <v>4857</v>
      </c>
      <c r="F998" s="10" t="s">
        <v>6075</v>
      </c>
      <c r="G998" s="10"/>
      <c r="H998" s="10"/>
      <c r="I998" s="10"/>
      <c r="J998" s="10"/>
    </row>
    <row r="999" spans="1:10" s="10" customFormat="1" x14ac:dyDescent="0.3">
      <c r="A999" s="26" t="s">
        <v>5173</v>
      </c>
      <c r="B999" s="26" t="s">
        <v>7400</v>
      </c>
      <c r="C999" s="26" t="s">
        <v>2280</v>
      </c>
      <c r="D999" s="26" t="s">
        <v>2732</v>
      </c>
      <c r="E999" s="26" t="s">
        <v>4161</v>
      </c>
      <c r="F999" s="26" t="s">
        <v>5646</v>
      </c>
      <c r="G999" s="26" t="s">
        <v>3414</v>
      </c>
      <c r="H999" s="26" t="s">
        <v>1829</v>
      </c>
      <c r="I999" s="26"/>
      <c r="J999" s="26"/>
    </row>
    <row r="1000" spans="1:10" s="10" customFormat="1" x14ac:dyDescent="0.3">
      <c r="A1000" s="10" t="s">
        <v>1003</v>
      </c>
      <c r="B1000" s="34" t="s">
        <v>7594</v>
      </c>
      <c r="C1000" s="10" t="s">
        <v>1021</v>
      </c>
    </row>
    <row r="1001" spans="1:10" s="10" customFormat="1" x14ac:dyDescent="0.35">
      <c r="A1001" s="26" t="s">
        <v>5177</v>
      </c>
      <c r="B1001" s="26" t="s">
        <v>2590</v>
      </c>
      <c r="C1001" s="26" t="s">
        <v>3813</v>
      </c>
      <c r="D1001" s="26" t="s">
        <v>5963</v>
      </c>
      <c r="E1001" s="26" t="s">
        <v>6933</v>
      </c>
      <c r="F1001" s="26"/>
      <c r="G1001" s="27"/>
      <c r="H1001" s="26"/>
      <c r="I1001" s="26"/>
      <c r="J1001" s="26"/>
    </row>
    <row r="1002" spans="1:10" x14ac:dyDescent="0.3">
      <c r="A1002" s="10" t="s">
        <v>733</v>
      </c>
      <c r="B1002" s="10" t="s">
        <v>6216</v>
      </c>
      <c r="C1002" s="10" t="s">
        <v>5905</v>
      </c>
      <c r="D1002" s="10" t="s">
        <v>3548</v>
      </c>
      <c r="E1002" s="10" t="s">
        <v>1051</v>
      </c>
      <c r="F1002" s="10"/>
      <c r="G1002" s="10"/>
      <c r="H1002" s="10"/>
      <c r="I1002" s="10"/>
      <c r="J1002" s="10"/>
    </row>
    <row r="1003" spans="1:10" x14ac:dyDescent="0.3">
      <c r="A1003" s="10" t="s">
        <v>3304</v>
      </c>
      <c r="B1003" s="10" t="s">
        <v>6572</v>
      </c>
      <c r="C1003" s="34" t="s">
        <v>7617</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6914</v>
      </c>
      <c r="G1004" s="10" t="s">
        <v>3734</v>
      </c>
      <c r="H1004" s="10" t="s">
        <v>7608</v>
      </c>
    </row>
    <row r="1005" spans="1:10" s="10" customFormat="1" x14ac:dyDescent="0.35">
      <c r="A1005" s="26" t="s">
        <v>5182</v>
      </c>
      <c r="B1005" s="26" t="s">
        <v>458</v>
      </c>
      <c r="C1005" s="26" t="s">
        <v>5208</v>
      </c>
      <c r="D1005" s="26" t="s">
        <v>4082</v>
      </c>
      <c r="E1005" s="26" t="s">
        <v>4357</v>
      </c>
      <c r="F1005" s="24" t="s">
        <v>9469</v>
      </c>
      <c r="G1005" s="26" t="s">
        <v>4129</v>
      </c>
      <c r="H1005" s="26" t="s">
        <v>6368</v>
      </c>
      <c r="I1005" s="26" t="s">
        <v>9462</v>
      </c>
      <c r="J1005" s="26"/>
    </row>
    <row r="1006" spans="1:10" x14ac:dyDescent="0.3">
      <c r="A1006" s="26" t="s">
        <v>5186</v>
      </c>
      <c r="B1006" s="26" t="s">
        <v>458</v>
      </c>
      <c r="C1006" s="26" t="s">
        <v>1169</v>
      </c>
      <c r="D1006" s="26" t="s">
        <v>7422</v>
      </c>
      <c r="E1006" s="26" t="s">
        <v>968</v>
      </c>
      <c r="F1006" s="26" t="s">
        <v>912</v>
      </c>
      <c r="G1006" s="26" t="s">
        <v>5316</v>
      </c>
      <c r="H1006" s="26" t="s">
        <v>3028</v>
      </c>
      <c r="I1006" s="26" t="s">
        <v>29</v>
      </c>
      <c r="J1006" s="26" t="s">
        <v>7374</v>
      </c>
    </row>
    <row r="1007" spans="1:10" x14ac:dyDescent="0.3">
      <c r="A1007" s="10" t="s">
        <v>6576</v>
      </c>
      <c r="B1007" s="10" t="s">
        <v>34</v>
      </c>
      <c r="C1007" s="10" t="s">
        <v>3339</v>
      </c>
      <c r="D1007" s="10" t="s">
        <v>3339</v>
      </c>
      <c r="E1007" s="10" t="s">
        <v>2076</v>
      </c>
      <c r="F1007" s="10" t="s">
        <v>7597</v>
      </c>
      <c r="G1007" s="10"/>
      <c r="H1007" s="10"/>
      <c r="I1007" s="10"/>
      <c r="J1007" s="10"/>
    </row>
    <row r="1008" spans="1:10" x14ac:dyDescent="0.3">
      <c r="A1008" s="10" t="s">
        <v>82</v>
      </c>
      <c r="B1008" s="10" t="s">
        <v>2076</v>
      </c>
      <c r="C1008" s="10" t="s">
        <v>6792</v>
      </c>
      <c r="D1008" s="34" t="s">
        <v>2846</v>
      </c>
      <c r="E1008" s="10"/>
      <c r="F1008" s="10"/>
      <c r="G1008" s="10"/>
      <c r="H1008" s="10"/>
      <c r="I1008" s="10"/>
      <c r="J1008" s="10"/>
    </row>
    <row r="1009" spans="1:12" s="10" customFormat="1" x14ac:dyDescent="0.3">
      <c r="A1009" s="26" t="s">
        <v>1422</v>
      </c>
      <c r="B1009" s="26" t="s">
        <v>1406</v>
      </c>
      <c r="C1009" s="26" t="s">
        <v>7014</v>
      </c>
      <c r="D1009" s="26" t="s">
        <v>4379</v>
      </c>
      <c r="E1009" s="26"/>
      <c r="F1009" s="26"/>
      <c r="G1009" s="26"/>
      <c r="H1009" s="26"/>
      <c r="I1009" s="26"/>
      <c r="J1009" s="26"/>
    </row>
    <row r="1010" spans="1:12" x14ac:dyDescent="0.3">
      <c r="A1010" s="26" t="s">
        <v>5194</v>
      </c>
      <c r="B1010" s="26" t="s">
        <v>5970</v>
      </c>
      <c r="C1010" s="26" t="s">
        <v>6491</v>
      </c>
    </row>
    <row r="1011" spans="1:12" x14ac:dyDescent="0.3">
      <c r="A1011" s="26" t="s">
        <v>5201</v>
      </c>
      <c r="B1011" s="26" t="s">
        <v>2721</v>
      </c>
      <c r="C1011" s="26" t="s">
        <v>6820</v>
      </c>
      <c r="D1011" s="26" t="s">
        <v>7425</v>
      </c>
    </row>
    <row r="1012" spans="1:12" s="10" customFormat="1" x14ac:dyDescent="0.3">
      <c r="A1012" s="19" t="s">
        <v>9629</v>
      </c>
      <c r="B1012" s="10" t="s">
        <v>3020</v>
      </c>
      <c r="C1012" s="34" t="s">
        <v>2551</v>
      </c>
      <c r="D1012" s="10" t="s">
        <v>2846</v>
      </c>
      <c r="E1012" s="10" t="s">
        <v>2862</v>
      </c>
      <c r="F1012" s="10" t="s">
        <v>2884</v>
      </c>
      <c r="G1012" s="10" t="s">
        <v>2843</v>
      </c>
      <c r="H1012" s="10" t="s">
        <v>3705</v>
      </c>
      <c r="I1012" s="10" t="s">
        <v>6950</v>
      </c>
    </row>
    <row r="1013" spans="1:12" s="10" customFormat="1" x14ac:dyDescent="0.35">
      <c r="A1013" s="26" t="s">
        <v>3020</v>
      </c>
      <c r="B1013" s="26" t="s">
        <v>4988</v>
      </c>
      <c r="C1013" s="24" t="s">
        <v>2551</v>
      </c>
      <c r="D1013" s="26" t="s">
        <v>2884</v>
      </c>
      <c r="E1013" s="26" t="s">
        <v>2862</v>
      </c>
      <c r="F1013" s="26" t="s">
        <v>2846</v>
      </c>
      <c r="G1013" s="26"/>
      <c r="H1013" s="26"/>
      <c r="I1013" s="26"/>
      <c r="J1013" s="26"/>
    </row>
    <row r="1014" spans="1:12" s="10" customFormat="1" x14ac:dyDescent="0.3">
      <c r="A1014" s="26" t="s">
        <v>7422</v>
      </c>
      <c r="B1014" s="26" t="s">
        <v>5186</v>
      </c>
      <c r="C1014" s="26" t="s">
        <v>458</v>
      </c>
      <c r="D1014" s="26" t="s">
        <v>1169</v>
      </c>
      <c r="E1014" s="26" t="s">
        <v>1935</v>
      </c>
      <c r="F1014" s="26" t="s">
        <v>2811</v>
      </c>
      <c r="G1014" s="26" t="s">
        <v>2804</v>
      </c>
      <c r="H1014" s="26"/>
      <c r="I1014" s="26"/>
      <c r="J1014" s="26"/>
    </row>
    <row r="1015" spans="1:12" x14ac:dyDescent="0.3">
      <c r="A1015" s="10" t="s">
        <v>6591</v>
      </c>
      <c r="B1015" s="10" t="s">
        <v>535</v>
      </c>
      <c r="C1015" s="10" t="s">
        <v>544</v>
      </c>
      <c r="D1015" s="10" t="s">
        <v>7597</v>
      </c>
      <c r="E1015" s="10"/>
      <c r="F1015" s="10"/>
      <c r="G1015" s="10"/>
      <c r="H1015" s="10"/>
      <c r="I1015" s="10"/>
      <c r="J1015" s="10"/>
    </row>
    <row r="1016" spans="1:12" s="10" customFormat="1" x14ac:dyDescent="0.3">
      <c r="A1016" s="10" t="s">
        <v>2846</v>
      </c>
      <c r="B1016" s="10" t="s">
        <v>7614</v>
      </c>
      <c r="C1016" s="10" t="s">
        <v>2871</v>
      </c>
      <c r="D1016" s="34" t="s">
        <v>3233</v>
      </c>
      <c r="E1016" s="34" t="s">
        <v>9641</v>
      </c>
      <c r="F1016" s="10" t="s">
        <v>3458</v>
      </c>
    </row>
    <row r="1017" spans="1:12" x14ac:dyDescent="0.3">
      <c r="A1017" s="10" t="s">
        <v>3112</v>
      </c>
      <c r="B1017" s="34" t="s">
        <v>7594</v>
      </c>
      <c r="C1017" s="10" t="s">
        <v>1029</v>
      </c>
      <c r="D1017" s="10" t="s">
        <v>1051</v>
      </c>
      <c r="E1017" s="10" t="s">
        <v>1077</v>
      </c>
      <c r="F1017" s="10" t="s">
        <v>670</v>
      </c>
      <c r="G1017" s="10" t="s">
        <v>6994</v>
      </c>
      <c r="H1017" s="10" t="s">
        <v>3588</v>
      </c>
      <c r="I1017" s="10" t="s">
        <v>3903</v>
      </c>
      <c r="J1017" s="10"/>
    </row>
    <row r="1018" spans="1:12" x14ac:dyDescent="0.3">
      <c r="A1018" s="26" t="s">
        <v>6595</v>
      </c>
      <c r="B1018" s="26" t="s">
        <v>1829</v>
      </c>
      <c r="C1018" s="26" t="s">
        <v>832</v>
      </c>
      <c r="D1018" s="26" t="s">
        <v>3228</v>
      </c>
      <c r="E1018" s="26" t="s">
        <v>2333</v>
      </c>
      <c r="F1018" s="26" t="s">
        <v>7100</v>
      </c>
    </row>
    <row r="1019" spans="1:12" x14ac:dyDescent="0.3">
      <c r="A1019" s="10" t="s">
        <v>3004</v>
      </c>
      <c r="B1019" s="10" t="s">
        <v>2846</v>
      </c>
      <c r="C1019" s="10" t="s">
        <v>7614</v>
      </c>
      <c r="D1019" s="10" t="s">
        <v>3458</v>
      </c>
      <c r="E1019" s="10" t="s">
        <v>2871</v>
      </c>
      <c r="F1019" s="10" t="s">
        <v>7665</v>
      </c>
      <c r="G1019" s="10"/>
      <c r="H1019" s="10"/>
      <c r="I1019" s="10"/>
      <c r="J1019" s="10"/>
    </row>
    <row r="1020" spans="1:12" x14ac:dyDescent="0.35">
      <c r="A1020" s="26" t="s">
        <v>6599</v>
      </c>
      <c r="B1020" s="26" t="s">
        <v>670</v>
      </c>
      <c r="C1020" s="27" t="s">
        <v>5490</v>
      </c>
      <c r="D1020" s="26" t="s">
        <v>3903</v>
      </c>
      <c r="E1020" s="26" t="s">
        <v>1060</v>
      </c>
      <c r="F1020" s="26" t="s">
        <v>5719</v>
      </c>
      <c r="G1020" s="26" t="s">
        <v>4824</v>
      </c>
    </row>
    <row r="1021" spans="1:12" x14ac:dyDescent="0.3">
      <c r="A1021" s="26" t="s">
        <v>6602</v>
      </c>
      <c r="B1021" s="26" t="s">
        <v>6731</v>
      </c>
      <c r="C1021" s="26" t="s">
        <v>2884</v>
      </c>
      <c r="D1021" s="26" t="s">
        <v>2893</v>
      </c>
      <c r="E1021" s="26" t="s">
        <v>2862</v>
      </c>
      <c r="F1021" s="26" t="s">
        <v>5161</v>
      </c>
      <c r="G1021" s="26" t="s">
        <v>5344</v>
      </c>
    </row>
    <row r="1022" spans="1:12" s="10" customFormat="1" x14ac:dyDescent="0.3">
      <c r="A1022" s="26" t="s">
        <v>7449</v>
      </c>
      <c r="B1022" s="26" t="s">
        <v>753</v>
      </c>
      <c r="C1022" s="26" t="s">
        <v>705</v>
      </c>
      <c r="D1022" s="26" t="s">
        <v>5761</v>
      </c>
      <c r="E1022" s="26" t="s">
        <v>6914</v>
      </c>
      <c r="F1022" s="26"/>
      <c r="G1022" s="26"/>
      <c r="H1022" s="26"/>
      <c r="I1022" s="26"/>
      <c r="J1022" s="26"/>
      <c r="K1022" s="19"/>
      <c r="L1022" s="19"/>
    </row>
    <row r="1023" spans="1:12" x14ac:dyDescent="0.3">
      <c r="A1023" s="26" t="s">
        <v>7445</v>
      </c>
    </row>
    <row r="1024" spans="1:12" x14ac:dyDescent="0.35">
      <c r="A1024" s="26" t="s">
        <v>5204</v>
      </c>
      <c r="B1024" s="26" t="s">
        <v>6210</v>
      </c>
      <c r="C1024" s="26" t="s">
        <v>6738</v>
      </c>
      <c r="D1024" s="27" t="s">
        <v>6338</v>
      </c>
    </row>
    <row r="1025" spans="1:10" x14ac:dyDescent="0.35">
      <c r="A1025" s="24" t="s">
        <v>767</v>
      </c>
      <c r="B1025" s="26" t="s">
        <v>1678</v>
      </c>
      <c r="C1025" s="26" t="s">
        <v>5326</v>
      </c>
      <c r="D1025" s="26" t="s">
        <v>779</v>
      </c>
      <c r="E1025" s="26" t="s">
        <v>3172</v>
      </c>
      <c r="F1025" s="26" t="s">
        <v>3159</v>
      </c>
      <c r="G1025" s="26" t="s">
        <v>794</v>
      </c>
      <c r="H1025" s="26" t="s">
        <v>9654</v>
      </c>
      <c r="I1025" s="26" t="s">
        <v>9692</v>
      </c>
    </row>
    <row r="1026" spans="1:10" x14ac:dyDescent="0.3">
      <c r="A1026" s="25" t="s">
        <v>9464</v>
      </c>
      <c r="B1026" s="26" t="s">
        <v>5259</v>
      </c>
      <c r="C1026" s="26" t="s">
        <v>1051</v>
      </c>
      <c r="D1026" s="26" t="s">
        <v>1042</v>
      </c>
      <c r="E1026" s="26" t="s">
        <v>4065</v>
      </c>
      <c r="F1026" s="26" t="s">
        <v>3588</v>
      </c>
      <c r="G1026" s="26" t="s">
        <v>3720</v>
      </c>
    </row>
    <row r="1027" spans="1:10" x14ac:dyDescent="0.3">
      <c r="A1027" s="25" t="s">
        <v>1568</v>
      </c>
      <c r="B1027" s="26" t="s">
        <v>2139</v>
      </c>
      <c r="C1027" s="26" t="s">
        <v>9717</v>
      </c>
      <c r="D1027" s="26" t="s">
        <v>10096</v>
      </c>
      <c r="E1027" s="26" t="s">
        <v>3257</v>
      </c>
      <c r="F1027" s="26" t="s">
        <v>6922</v>
      </c>
      <c r="G1027" s="26" t="s">
        <v>3705</v>
      </c>
      <c r="H1027" s="26" t="s">
        <v>4980</v>
      </c>
      <c r="I1027" s="26" t="s">
        <v>4936</v>
      </c>
      <c r="J1027" s="26" t="s">
        <v>3262</v>
      </c>
    </row>
    <row r="1028" spans="1:10" x14ac:dyDescent="0.3">
      <c r="A1028" s="25" t="s">
        <v>9717</v>
      </c>
      <c r="B1028" s="26" t="s">
        <v>1568</v>
      </c>
    </row>
    <row r="1029" spans="1:10" x14ac:dyDescent="0.3">
      <c r="A1029" s="25" t="s">
        <v>3228</v>
      </c>
      <c r="B1029" s="26" t="s">
        <v>3218</v>
      </c>
      <c r="C1029" s="26" t="s">
        <v>10062</v>
      </c>
      <c r="D1029" s="26" t="s">
        <v>426</v>
      </c>
      <c r="E1029" s="26" t="s">
        <v>416</v>
      </c>
      <c r="F1029" s="26" t="s">
        <v>4379</v>
      </c>
      <c r="G1029" s="26" t="s">
        <v>786</v>
      </c>
    </row>
    <row r="1030" spans="1:10" x14ac:dyDescent="0.3">
      <c r="A1030" s="25" t="s">
        <v>10062</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7576</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7683</v>
      </c>
    </row>
    <row r="6" spans="1:2" ht="15.6" customHeight="1" x14ac:dyDescent="0.3">
      <c r="A6" t="s">
        <v>24</v>
      </c>
      <c r="B6" t="s">
        <v>7684</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7685</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7686</v>
      </c>
      <c r="B1" s="53"/>
      <c r="C1" s="53"/>
      <c r="D1" s="53"/>
      <c r="E1" s="53"/>
      <c r="F1" s="53"/>
      <c r="G1" s="53"/>
      <c r="H1" s="53"/>
      <c r="I1" s="53"/>
    </row>
    <row r="3" spans="1:9" x14ac:dyDescent="0.3">
      <c r="A3" s="1" t="s">
        <v>7687</v>
      </c>
      <c r="B3" s="2">
        <f>COUNTIF(B7:I1058,"✗*")</f>
        <v>0</v>
      </c>
    </row>
    <row r="4" spans="1:9" x14ac:dyDescent="0.3">
      <c r="A4" s="54" t="s">
        <v>7688</v>
      </c>
      <c r="B4" s="53"/>
      <c r="C4" s="53"/>
      <c r="D4" s="53"/>
      <c r="E4" s="53"/>
      <c r="F4" s="53"/>
      <c r="G4" s="53"/>
      <c r="H4" s="53"/>
      <c r="I4" s="53"/>
    </row>
    <row r="6" spans="1:9" x14ac:dyDescent="0.3">
      <c r="A6" s="3" t="s">
        <v>7689</v>
      </c>
      <c r="B6" s="3" t="s">
        <v>7673</v>
      </c>
      <c r="C6" s="3" t="s">
        <v>7674</v>
      </c>
      <c r="D6" s="3" t="s">
        <v>7675</v>
      </c>
      <c r="E6" s="3" t="s">
        <v>7676</v>
      </c>
      <c r="F6" s="3" t="s">
        <v>7677</v>
      </c>
      <c r="G6" s="3" t="s">
        <v>7678</v>
      </c>
      <c r="H6" s="3" t="s">
        <v>7679</v>
      </c>
      <c r="I6" s="3" t="s">
        <v>7680</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7690</v>
      </c>
      <c r="B1" s="37" t="s">
        <v>7691</v>
      </c>
      <c r="C1" s="37" t="s">
        <v>7692</v>
      </c>
      <c r="D1" s="37" t="s">
        <v>7693</v>
      </c>
      <c r="E1" s="37" t="s">
        <v>7694</v>
      </c>
      <c r="F1" s="37" t="s">
        <v>10061</v>
      </c>
    </row>
    <row r="2" spans="1:6" hidden="1" x14ac:dyDescent="0.4">
      <c r="A2" s="39" t="s">
        <v>410</v>
      </c>
      <c r="B2" s="40" t="str">
        <f>IFERROR(INDEX(Mots!$B:$B,MATCH($A2,Mots!$A:$A,0)),"introuvable")</f>
        <v>le sandwich</v>
      </c>
      <c r="C2" s="39" t="s">
        <v>235</v>
      </c>
      <c r="D2" s="38" t="s">
        <v>10110</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10108</v>
      </c>
    </row>
    <row r="30" spans="1:4" hidden="1" x14ac:dyDescent="0.4">
      <c r="A30" s="39" t="s">
        <v>573</v>
      </c>
      <c r="B30" s="40" t="str">
        <f>IFERROR(INDEX(Mots!$B:$B,MATCH($A30,Mots!$A:$A,0)),"introuvable")</f>
        <v>l'essence pour tondeuse</v>
      </c>
      <c r="C30" s="39" t="s">
        <v>213</v>
      </c>
      <c r="D30" s="38" t="s">
        <v>10108</v>
      </c>
    </row>
    <row r="31" spans="1:4" hidden="1" x14ac:dyDescent="0.4">
      <c r="A31" s="39" t="s">
        <v>577</v>
      </c>
      <c r="B31" s="40" t="str">
        <f>IFERROR(INDEX(Mots!$B:$B,MATCH($A31,Mots!$A:$A,0)),"introuvable")</f>
        <v>la débroussailleuse</v>
      </c>
      <c r="C31" s="39" t="s">
        <v>213</v>
      </c>
      <c r="D31" s="38" t="s">
        <v>10108</v>
      </c>
    </row>
    <row r="32" spans="1:4" hidden="1" x14ac:dyDescent="0.4">
      <c r="A32" s="39" t="s">
        <v>581</v>
      </c>
      <c r="B32" s="40" t="str">
        <f>IFERROR(INDEX(Mots!$B:$B,MATCH($A32,Mots!$A:$A,0)),"introuvable")</f>
        <v>le fil pour la débroussailleuse</v>
      </c>
      <c r="C32" s="39" t="s">
        <v>213</v>
      </c>
      <c r="D32" s="38" t="s">
        <v>10108</v>
      </c>
    </row>
    <row r="33" spans="1:4" hidden="1" x14ac:dyDescent="0.4">
      <c r="A33" s="39" t="s">
        <v>585</v>
      </c>
      <c r="B33" s="40" t="str">
        <f>IFERROR(INDEX(Mots!$B:$B,MATCH($A33,Mots!$A:$A,0)),"introuvable")</f>
        <v>le don d'honneur (argent)</v>
      </c>
      <c r="C33" s="39" t="s">
        <v>156</v>
      </c>
    </row>
    <row r="34" spans="1:4" hidden="1" x14ac:dyDescent="0.4">
      <c r="A34" s="39" t="s">
        <v>9683</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9631</v>
      </c>
      <c r="B62" s="40" t="str">
        <f>IFERROR(INDEX(Mots!$B:$B,MATCH($A62,Mots!$A:$A,0)),"introuvable")</f>
        <v>la bouteille</v>
      </c>
      <c r="C62" s="39" t="s">
        <v>186</v>
      </c>
    </row>
    <row r="63" spans="1:3" hidden="1" x14ac:dyDescent="0.4">
      <c r="A63" s="39" t="s">
        <v>9472</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10035</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9513</v>
      </c>
    </row>
    <row r="131" spans="1:3" hidden="1" x14ac:dyDescent="0.4">
      <c r="A131" s="39" t="s">
        <v>1008</v>
      </c>
      <c r="B131" s="40" t="str">
        <f>IFERROR(INDEX(Mots!$B:$B,MATCH($A131,Mots!$A:$A,0)),"introuvable")</f>
        <v>le dos</v>
      </c>
      <c r="C131" s="39" t="s">
        <v>9513</v>
      </c>
    </row>
    <row r="132" spans="1:3" hidden="1" x14ac:dyDescent="0.4">
      <c r="A132" s="39" t="s">
        <v>1013</v>
      </c>
      <c r="B132" s="40" t="str">
        <f>IFERROR(INDEX(Mots!$B:$B,MATCH($A132,Mots!$A:$A,0)),"introuvable")</f>
        <v>le coeur</v>
      </c>
      <c r="C132" s="39" t="s">
        <v>9513</v>
      </c>
    </row>
    <row r="133" spans="1:3" hidden="1" x14ac:dyDescent="0.4">
      <c r="A133" s="39" t="s">
        <v>1017</v>
      </c>
      <c r="B133" s="40" t="str">
        <f>IFERROR(INDEX(Mots!$B:$B,MATCH($A133,Mots!$A:$A,0)),"introuvable")</f>
        <v>la poitrine</v>
      </c>
      <c r="C133" s="39" t="s">
        <v>9513</v>
      </c>
    </row>
    <row r="134" spans="1:3" hidden="1" x14ac:dyDescent="0.4">
      <c r="A134" s="39" t="s">
        <v>1021</v>
      </c>
      <c r="B134" s="40" t="str">
        <f>IFERROR(INDEX(Mots!$B:$B,MATCH($A134,Mots!$A:$A,0)),"introuvable")</f>
        <v>le torse</v>
      </c>
      <c r="C134" s="39" t="s">
        <v>9513</v>
      </c>
    </row>
    <row r="135" spans="1:3" hidden="1" x14ac:dyDescent="0.4">
      <c r="A135" s="39" t="s">
        <v>1025</v>
      </c>
      <c r="B135" s="40" t="str">
        <f>IFERROR(INDEX(Mots!$B:$B,MATCH($A135,Mots!$A:$A,0)),"introuvable")</f>
        <v>l'épaule</v>
      </c>
      <c r="C135" s="39" t="s">
        <v>9513</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10060</v>
      </c>
      <c r="D148" s="38" t="s">
        <v>10110</v>
      </c>
    </row>
    <row r="149" spans="1:4" hidden="1" x14ac:dyDescent="0.4">
      <c r="A149" s="39" t="s">
        <v>1090</v>
      </c>
      <c r="B149" s="40" t="str">
        <f>IFERROR(INDEX(Mots!$B:$B,MATCH($A149,Mots!$A:$A,0)),"introuvable")</f>
        <v>la ceinture</v>
      </c>
      <c r="C149" s="39" t="s">
        <v>10060</v>
      </c>
    </row>
    <row r="150" spans="1:4" hidden="1" x14ac:dyDescent="0.4">
      <c r="A150" s="39" t="s">
        <v>1094</v>
      </c>
      <c r="B150" s="40" t="str">
        <f>IFERROR(INDEX(Mots!$B:$B,MATCH($A150,Mots!$A:$A,0)),"introuvable")</f>
        <v>le bonnet</v>
      </c>
      <c r="C150" s="39" t="s">
        <v>10060</v>
      </c>
    </row>
    <row r="151" spans="1:4" hidden="1" x14ac:dyDescent="0.4">
      <c r="A151" s="39" t="s">
        <v>1098</v>
      </c>
      <c r="B151" s="40" t="str">
        <f>IFERROR(INDEX(Mots!$B:$B,MATCH($A151,Mots!$A:$A,0)),"introuvable")</f>
        <v>le gant</v>
      </c>
      <c r="C151" s="39" t="s">
        <v>10060</v>
      </c>
    </row>
    <row r="152" spans="1:4" hidden="1" x14ac:dyDescent="0.4">
      <c r="A152" s="39" t="s">
        <v>1106</v>
      </c>
      <c r="B152" s="40" t="str">
        <f>IFERROR(INDEX(Mots!$B:$B,MATCH($A152,Mots!$A:$A,0)),"introuvable")</f>
        <v>l'écharpe</v>
      </c>
      <c r="C152" s="39" t="s">
        <v>10060</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9653</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9448</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10088</v>
      </c>
    </row>
    <row r="223" spans="1:6" hidden="1" x14ac:dyDescent="0.4">
      <c r="A223" s="39" t="s">
        <v>1435</v>
      </c>
      <c r="B223" s="40" t="str">
        <f>IFERROR(INDEX(Mots!$B:$B,MATCH($A223,Mots!$A:$A,0)),"introuvable")</f>
        <v>l'école primaire de Erde</v>
      </c>
      <c r="C223" s="39" t="s">
        <v>10088</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10088</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10088</v>
      </c>
    </row>
    <row r="228" spans="1:3" hidden="1" x14ac:dyDescent="0.4">
      <c r="A228" s="39" t="s">
        <v>1458</v>
      </c>
      <c r="B228" s="40" t="str">
        <f>IFERROR(INDEX(Mots!$B:$B,MATCH($A228,Mots!$A:$A,0)),"introuvable")</f>
        <v>la Salle polyvalente de Conthey</v>
      </c>
      <c r="C228" s="39" t="s">
        <v>10088</v>
      </c>
    </row>
    <row r="229" spans="1:3" hidden="1" x14ac:dyDescent="0.4">
      <c r="A229" s="39" t="s">
        <v>1462</v>
      </c>
      <c r="B229" s="40" t="str">
        <f>IFERROR(INDEX(Mots!$B:$B,MATCH($A229,Mots!$A:$A,0)),"introuvable")</f>
        <v>le café des Sapins</v>
      </c>
      <c r="C229" s="39" t="s">
        <v>10088</v>
      </c>
    </row>
    <row r="230" spans="1:3" hidden="1" x14ac:dyDescent="0.4">
      <c r="A230" s="39" t="s">
        <v>1466</v>
      </c>
      <c r="B230" s="40" t="str">
        <f>IFERROR(INDEX(Mots!$B:$B,MATCH($A230,Mots!$A:$A,0)),"introuvable")</f>
        <v>le restaurant Les Rangs à St-Séverin</v>
      </c>
      <c r="C230" s="39" t="s">
        <v>10088</v>
      </c>
    </row>
    <row r="231" spans="1:3" hidden="1" x14ac:dyDescent="0.4">
      <c r="A231" s="39" t="s">
        <v>1470</v>
      </c>
      <c r="B231" s="40" t="str">
        <f>IFERROR(INDEX(Mots!$B:$B,MATCH($A231,Mots!$A:$A,0)),"introuvable")</f>
        <v>l'Hôtel Restaurant du Sanetsch</v>
      </c>
      <c r="C231" s="39" t="s">
        <v>10088</v>
      </c>
    </row>
    <row r="232" spans="1:3" hidden="1" x14ac:dyDescent="0.4">
      <c r="A232" s="39" t="s">
        <v>1474</v>
      </c>
      <c r="B232" s="40" t="str">
        <f>IFERROR(INDEX(Mots!$B:$B,MATCH($A232,Mots!$A:$A,0)),"introuvable")</f>
        <v>l'hôpital de Sion</v>
      </c>
      <c r="C232" s="39" t="s">
        <v>10088</v>
      </c>
    </row>
    <row r="233" spans="1:3" hidden="1" x14ac:dyDescent="0.4">
      <c r="A233" s="39" t="s">
        <v>1478</v>
      </c>
      <c r="B233" s="40" t="str">
        <f>IFERROR(INDEX(Mots!$B:$B,MATCH($A233,Mots!$A:$A,0)),"introuvable")</f>
        <v>l'hôpital de Sierre</v>
      </c>
      <c r="C233" s="39" t="s">
        <v>10088</v>
      </c>
    </row>
    <row r="234" spans="1:3" hidden="1" x14ac:dyDescent="0.4">
      <c r="A234" s="39" t="s">
        <v>1482</v>
      </c>
      <c r="B234" s="40" t="str">
        <f>IFERROR(INDEX(Mots!$B:$B,MATCH($A234,Mots!$A:$A,0)),"introuvable")</f>
        <v>la gare CFF de Sion</v>
      </c>
      <c r="C234" s="39" t="s">
        <v>10088</v>
      </c>
    </row>
    <row r="235" spans="1:3" hidden="1" x14ac:dyDescent="0.4">
      <c r="A235" s="39" t="s">
        <v>1486</v>
      </c>
      <c r="B235" s="40" t="str">
        <f>IFERROR(INDEX(Mots!$B:$B,MATCH($A235,Mots!$A:$A,0)),"introuvable")</f>
        <v>la gare routière de Sion</v>
      </c>
      <c r="C235" s="39" t="s">
        <v>10088</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10110</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5772</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10376</v>
      </c>
      <c r="B295" s="40" t="str">
        <f>IFERROR(INDEX(Mots!$B:$B,MATCH($A295,Mots!$A:$A,0)),"introuvable")</f>
        <v>le restaurant de la Grand-Zour</v>
      </c>
      <c r="C295" s="39" t="s">
        <v>338</v>
      </c>
    </row>
    <row r="296" spans="1:3" hidden="1" x14ac:dyDescent="0.4">
      <c r="A296" s="39" t="s">
        <v>10377</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10113</v>
      </c>
    </row>
    <row r="333" spans="1:3" hidden="1" x14ac:dyDescent="0.4">
      <c r="A333" s="39" t="s">
        <v>1984</v>
      </c>
      <c r="B333" s="40" t="str">
        <f>IFERROR(INDEX(Mots!$B:$B,MATCH($A333,Mots!$A:$A,0)),"introuvable")</f>
        <v>le bugle</v>
      </c>
      <c r="C333" s="39" t="s">
        <v>10113</v>
      </c>
    </row>
    <row r="334" spans="1:3" hidden="1" x14ac:dyDescent="0.4">
      <c r="A334" s="39" t="s">
        <v>1988</v>
      </c>
      <c r="B334" s="40" t="str">
        <f>IFERROR(INDEX(Mots!$B:$B,MATCH($A334,Mots!$A:$A,0)),"introuvable")</f>
        <v>l'alto</v>
      </c>
      <c r="C334" s="39" t="s">
        <v>10113</v>
      </c>
    </row>
    <row r="335" spans="1:3" hidden="1" x14ac:dyDescent="0.4">
      <c r="A335" s="39" t="s">
        <v>1992</v>
      </c>
      <c r="B335" s="40" t="str">
        <f>IFERROR(INDEX(Mots!$B:$B,MATCH($A335,Mots!$A:$A,0)),"introuvable")</f>
        <v>le baryton</v>
      </c>
      <c r="C335" s="39" t="s">
        <v>10113</v>
      </c>
    </row>
    <row r="336" spans="1:3" hidden="1" x14ac:dyDescent="0.4">
      <c r="A336" s="39" t="s">
        <v>1996</v>
      </c>
      <c r="B336" s="40" t="str">
        <f>IFERROR(INDEX(Mots!$B:$B,MATCH($A336,Mots!$A:$A,0)),"introuvable")</f>
        <v>l'euphonium</v>
      </c>
      <c r="C336" s="39" t="s">
        <v>10113</v>
      </c>
    </row>
    <row r="337" spans="1:3" hidden="1" x14ac:dyDescent="0.4">
      <c r="A337" s="39" t="s">
        <v>2000</v>
      </c>
      <c r="B337" s="40" t="str">
        <f>IFERROR(INDEX(Mots!$B:$B,MATCH($A337,Mots!$A:$A,0)),"introuvable")</f>
        <v>la basse</v>
      </c>
      <c r="C337" s="39" t="s">
        <v>10113</v>
      </c>
    </row>
    <row r="338" spans="1:3" hidden="1" x14ac:dyDescent="0.4">
      <c r="A338" s="39" t="s">
        <v>2004</v>
      </c>
      <c r="B338" s="40" t="str">
        <f>IFERROR(INDEX(Mots!$B:$B,MATCH($A338,Mots!$A:$A,0)),"introuvable")</f>
        <v>le trombone</v>
      </c>
      <c r="C338" s="39" t="s">
        <v>10113</v>
      </c>
    </row>
    <row r="339" spans="1:3" hidden="1" x14ac:dyDescent="0.4">
      <c r="A339" s="39" t="s">
        <v>2008</v>
      </c>
      <c r="B339" s="40" t="str">
        <f>IFERROR(INDEX(Mots!$B:$B,MATCH($A339,Mots!$A:$A,0)),"introuvable")</f>
        <v>le légume</v>
      </c>
      <c r="C339" s="39" t="s">
        <v>222</v>
      </c>
    </row>
    <row r="340" spans="1:3" hidden="1" x14ac:dyDescent="0.4">
      <c r="A340" s="39" t="s">
        <v>9396</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10088</v>
      </c>
    </row>
    <row r="353" spans="1:3" hidden="1" x14ac:dyDescent="0.4">
      <c r="A353" s="39" t="s">
        <v>2068</v>
      </c>
      <c r="B353" s="40" t="str">
        <f>IFERROR(INDEX(Mots!$B:$B,MATCH($A353,Mots!$A:$A,0)),"introuvable")</f>
        <v>Vétroz</v>
      </c>
      <c r="C353" s="39" t="s">
        <v>10088</v>
      </c>
    </row>
    <row r="354" spans="1:3" hidden="1" x14ac:dyDescent="0.4">
      <c r="A354" s="39" t="s">
        <v>82</v>
      </c>
      <c r="B354" s="40" t="str">
        <f>IFERROR(INDEX(Mots!$B:$B,MATCH($A354,Mots!$A:$A,0)),"introuvable")</f>
        <v>la ville</v>
      </c>
      <c r="C354" s="39" t="s">
        <v>10115</v>
      </c>
    </row>
    <row r="355" spans="1:3" hidden="1" x14ac:dyDescent="0.4">
      <c r="A355" s="39" t="s">
        <v>2076</v>
      </c>
      <c r="B355" s="40" t="str">
        <f>IFERROR(INDEX(Mots!$B:$B,MATCH($A355,Mots!$A:$A,0)),"introuvable")</f>
        <v>la rue</v>
      </c>
      <c r="C355" s="39" t="s">
        <v>10115</v>
      </c>
    </row>
    <row r="356" spans="1:3" hidden="1" x14ac:dyDescent="0.4">
      <c r="A356" s="39" t="s">
        <v>2085</v>
      </c>
      <c r="B356" s="40" t="str">
        <f>IFERROR(INDEX(Mots!$B:$B,MATCH($A356,Mots!$A:$A,0)),"introuvable")</f>
        <v>le pont</v>
      </c>
      <c r="C356" s="39" t="s">
        <v>10115</v>
      </c>
    </row>
    <row r="357" spans="1:3" hidden="1" x14ac:dyDescent="0.4">
      <c r="A357" s="39" t="s">
        <v>2090</v>
      </c>
      <c r="B357" s="40" t="str">
        <f>IFERROR(INDEX(Mots!$B:$B,MATCH($A357,Mots!$A:$A,0)),"introuvable")</f>
        <v>le tunnel</v>
      </c>
      <c r="C357" s="39" t="s">
        <v>10115</v>
      </c>
    </row>
    <row r="358" spans="1:3" hidden="1" x14ac:dyDescent="0.4">
      <c r="A358" s="39" t="s">
        <v>2094</v>
      </c>
      <c r="B358" s="40" t="str">
        <f>IFERROR(INDEX(Mots!$B:$B,MATCH($A358,Mots!$A:$A,0)),"introuvable")</f>
        <v>le parc</v>
      </c>
      <c r="C358" s="39" t="s">
        <v>10115</v>
      </c>
    </row>
    <row r="359" spans="1:3" hidden="1" x14ac:dyDescent="0.4">
      <c r="A359" s="39" t="s">
        <v>2103</v>
      </c>
      <c r="B359" s="40" t="str">
        <f>IFERROR(INDEX(Mots!$B:$B,MATCH($A359,Mots!$A:$A,0)),"introuvable")</f>
        <v>le Bureau des Métiers</v>
      </c>
      <c r="C359" s="39" t="s">
        <v>10088</v>
      </c>
    </row>
    <row r="360" spans="1:3" hidden="1" x14ac:dyDescent="0.4">
      <c r="A360" s="39" t="s">
        <v>2107</v>
      </c>
      <c r="B360" s="40" t="str">
        <f>IFERROR(INDEX(Mots!$B:$B,MATCH($A360,Mots!$A:$A,0)),"introuvable")</f>
        <v>Hôtel de police à Genève</v>
      </c>
      <c r="C360" s="39" t="s">
        <v>10088</v>
      </c>
    </row>
    <row r="361" spans="1:3" hidden="1" x14ac:dyDescent="0.4">
      <c r="A361" s="39" t="s">
        <v>2111</v>
      </c>
      <c r="B361" s="40" t="str">
        <f>IFERROR(INDEX(Mots!$B:$B,MATCH($A361,Mots!$A:$A,0)),"introuvable")</f>
        <v>le CHUV - Hôpital Universitaire Vaudois</v>
      </c>
      <c r="C361" s="39" t="s">
        <v>10088</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9520</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9589</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10033</v>
      </c>
    </row>
    <row r="474" spans="1:3" hidden="1" x14ac:dyDescent="0.4">
      <c r="A474" s="39" t="s">
        <v>2694</v>
      </c>
      <c r="B474" s="40" t="str">
        <f>IFERROR(INDEX(Mots!$B:$B,MATCH($A474,Mots!$A:$A,0)),"introuvable")</f>
        <v>l'omelette</v>
      </c>
      <c r="C474" s="39" t="s">
        <v>10033</v>
      </c>
    </row>
    <row r="475" spans="1:3" hidden="1" x14ac:dyDescent="0.4">
      <c r="A475" s="39" t="s">
        <v>2698</v>
      </c>
      <c r="B475" s="40" t="str">
        <f>IFERROR(INDEX(Mots!$B:$B,MATCH($A475,Mots!$A:$A,0)),"introuvable")</f>
        <v>la polenta</v>
      </c>
      <c r="C475" s="39" t="s">
        <v>10033</v>
      </c>
    </row>
    <row r="476" spans="1:3" hidden="1" x14ac:dyDescent="0.4">
      <c r="A476" s="39" t="s">
        <v>2702</v>
      </c>
      <c r="B476" s="40" t="str">
        <f>IFERROR(INDEX(Mots!$B:$B,MATCH($A476,Mots!$A:$A,0)),"introuvable")</f>
        <v>la fondue</v>
      </c>
      <c r="C476" s="39" t="s">
        <v>10033</v>
      </c>
    </row>
    <row r="477" spans="1:3" hidden="1" x14ac:dyDescent="0.4">
      <c r="A477" s="39" t="s">
        <v>2706</v>
      </c>
      <c r="B477" s="40" t="str">
        <f>IFERROR(INDEX(Mots!$B:$B,MATCH($A477,Mots!$A:$A,0)),"introuvable")</f>
        <v>la raclette</v>
      </c>
      <c r="C477" s="39" t="s">
        <v>10033</v>
      </c>
    </row>
    <row r="478" spans="1:3" hidden="1" x14ac:dyDescent="0.4">
      <c r="A478" s="39" t="s">
        <v>2710</v>
      </c>
      <c r="B478" s="40" t="str">
        <f>IFERROR(INDEX(Mots!$B:$B,MATCH($A478,Mots!$A:$A,0)),"introuvable")</f>
        <v>la soupe</v>
      </c>
      <c r="C478" s="39" t="s">
        <v>10033</v>
      </c>
    </row>
    <row r="479" spans="1:3" hidden="1" x14ac:dyDescent="0.4">
      <c r="A479" s="39" t="s">
        <v>2715</v>
      </c>
      <c r="B479" s="40" t="str">
        <f>IFERROR(INDEX(Mots!$B:$B,MATCH($A479,Mots!$A:$A,0)),"introuvable")</f>
        <v>des filets de perche</v>
      </c>
      <c r="C479" s="39" t="s">
        <v>10033</v>
      </c>
    </row>
    <row r="480" spans="1:3" hidden="1" x14ac:dyDescent="0.4">
      <c r="A480" s="39" t="s">
        <v>2718</v>
      </c>
      <c r="B480" s="40" t="str">
        <f>IFERROR(INDEX(Mots!$B:$B,MATCH($A480,Mots!$A:$A,0)),"introuvable")</f>
        <v>un filet de truite</v>
      </c>
      <c r="C480" s="39" t="s">
        <v>10033</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10088</v>
      </c>
      <c r="D483" s="39" t="s">
        <v>366</v>
      </c>
    </row>
    <row r="484" spans="1:4" hidden="1" x14ac:dyDescent="0.4">
      <c r="A484" s="39" t="s">
        <v>9406</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9400</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10033</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10033</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10033</v>
      </c>
    </row>
    <row r="522" spans="1:4" hidden="1" x14ac:dyDescent="0.4">
      <c r="A522" s="39" t="s">
        <v>2918</v>
      </c>
      <c r="B522" s="40" t="str">
        <f>IFERROR(INDEX(Mots!$B:$B,MATCH($A522,Mots!$A:$A,0)),"introuvable")</f>
        <v>du rôti de porc</v>
      </c>
      <c r="C522" s="39" t="s">
        <v>10033</v>
      </c>
    </row>
    <row r="523" spans="1:4" hidden="1" x14ac:dyDescent="0.4">
      <c r="A523" s="39" t="s">
        <v>2920</v>
      </c>
      <c r="B523" s="40" t="str">
        <f>IFERROR(INDEX(Mots!$B:$B,MATCH($A523,Mots!$A:$A,0)),"introuvable")</f>
        <v>une côtelette de porc</v>
      </c>
      <c r="C523" s="39" t="s">
        <v>10033</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10033</v>
      </c>
      <c r="D525" s="38" t="s">
        <v>107</v>
      </c>
    </row>
    <row r="526" spans="1:4" hidden="1" x14ac:dyDescent="0.4">
      <c r="A526" s="39" t="s">
        <v>2934</v>
      </c>
      <c r="B526" s="40" t="str">
        <f>IFERROR(INDEX(Mots!$B:$B,MATCH($A526,Mots!$A:$A,0)),"introuvable")</f>
        <v>une cuisse de poulet</v>
      </c>
      <c r="C526" s="39" t="s">
        <v>10033</v>
      </c>
      <c r="D526" s="38" t="s">
        <v>107</v>
      </c>
    </row>
    <row r="527" spans="1:4" hidden="1" x14ac:dyDescent="0.4">
      <c r="A527" s="39" t="s">
        <v>2938</v>
      </c>
      <c r="B527" s="40" t="str">
        <f>IFERROR(INDEX(Mots!$B:$B,MATCH($A527,Mots!$A:$A,0)),"introuvable")</f>
        <v>du poulet au curry</v>
      </c>
      <c r="C527" s="39" t="s">
        <v>10033</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9642</v>
      </c>
      <c r="B534" s="40" t="str">
        <f>IFERROR(INDEX(Mots!$B:$B,MATCH($A534,Mots!$A:$A,0)),"introuvable")</f>
        <v>la jante</v>
      </c>
      <c r="C534" s="39" t="s">
        <v>255</v>
      </c>
    </row>
    <row r="535" spans="1:3" x14ac:dyDescent="0.4">
      <c r="A535" s="39" t="s">
        <v>9641</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9449</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10110</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10076</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10108</v>
      </c>
    </row>
    <row r="630" spans="1:5" hidden="1" x14ac:dyDescent="0.4">
      <c r="A630" s="39" t="s">
        <v>9542</v>
      </c>
      <c r="B630" s="40" t="str">
        <f>IFERROR(INDEX(Mots!$B:$B,MATCH($A630,Mots!$A:$A,0)),"introuvable")</f>
        <v>l'interrupteur</v>
      </c>
      <c r="C630" s="39" t="s">
        <v>182</v>
      </c>
      <c r="D630" s="38" t="s">
        <v>10108</v>
      </c>
    </row>
    <row r="631" spans="1:5" hidden="1" x14ac:dyDescent="0.4">
      <c r="A631" s="39" t="s">
        <v>3366</v>
      </c>
      <c r="B631" s="40" t="str">
        <f>IFERROR(INDEX(Mots!$B:$B,MATCH($A631,Mots!$A:$A,0)),"introuvable")</f>
        <v>les fusibles pour l'électricité</v>
      </c>
      <c r="C631" s="39" t="s">
        <v>182</v>
      </c>
      <c r="D631" s="38" t="s">
        <v>10108</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10108</v>
      </c>
    </row>
    <row r="637" spans="1:5" hidden="1" x14ac:dyDescent="0.4">
      <c r="A637" s="39" t="s">
        <v>3393</v>
      </c>
      <c r="B637" s="40" t="str">
        <f>IFERROR(INDEX(Mots!$B:$B,MATCH($A637,Mots!$A:$A,0)),"introuvable")</f>
        <v>la serrure</v>
      </c>
      <c r="C637" s="39" t="s">
        <v>182</v>
      </c>
      <c r="D637" s="38" t="s">
        <v>10108</v>
      </c>
    </row>
    <row r="638" spans="1:5" hidden="1" x14ac:dyDescent="0.4">
      <c r="A638" s="39" t="s">
        <v>3397</v>
      </c>
      <c r="B638" s="40" t="str">
        <f>IFERROR(INDEX(Mots!$B:$B,MATCH($A638,Mots!$A:$A,0)),"introuvable")</f>
        <v>le fourneau à bois</v>
      </c>
      <c r="C638" s="39" t="s">
        <v>191</v>
      </c>
      <c r="D638" s="38" t="s">
        <v>10108</v>
      </c>
    </row>
    <row r="639" spans="1:5" hidden="1" x14ac:dyDescent="0.4">
      <c r="A639" s="39" t="s">
        <v>3401</v>
      </c>
      <c r="B639" s="40" t="str">
        <f>IFERROR(INDEX(Mots!$B:$B,MATCH($A639,Mots!$A:$A,0)),"introuvable")</f>
        <v>le fourneau à pellets</v>
      </c>
      <c r="C639" s="39" t="s">
        <v>191</v>
      </c>
      <c r="D639" s="38" t="s">
        <v>10108</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4873</v>
      </c>
      <c r="B647" s="40" t="str">
        <f>IFERROR(INDEX(Mots!$B:$B,MATCH($A647,Mots!$A:$A,0)),"introuvable")</f>
        <v>la poche</v>
      </c>
      <c r="C647" s="39" t="s">
        <v>303</v>
      </c>
    </row>
    <row r="648" spans="1:4" hidden="1" x14ac:dyDescent="0.4">
      <c r="A648" s="39" t="s">
        <v>5024</v>
      </c>
      <c r="B648" s="40" t="str">
        <f>IFERROR(INDEX(Mots!$B:$B,MATCH($A648,Mots!$A:$A,0)),"introuvable")</f>
        <v>la robe</v>
      </c>
      <c r="C648" s="39" t="s">
        <v>303</v>
      </c>
    </row>
    <row r="649" spans="1:4" hidden="1" x14ac:dyDescent="0.4">
      <c r="A649" s="39" t="s">
        <v>5071</v>
      </c>
      <c r="B649" s="40" t="str">
        <f>IFERROR(INDEX(Mots!$B:$B,MATCH($A649,Mots!$A:$A,0)),"introuvable")</f>
        <v>la serviette</v>
      </c>
      <c r="C649" s="39" t="s">
        <v>201</v>
      </c>
    </row>
    <row r="650" spans="1:4" hidden="1" x14ac:dyDescent="0.4">
      <c r="A650" s="39" t="s">
        <v>5267</v>
      </c>
      <c r="B650" s="40" t="str">
        <f>IFERROR(INDEX(Mots!$B:$B,MATCH($A650,Mots!$A:$A,0)),"introuvable")</f>
        <v>l'allumette</v>
      </c>
      <c r="C650" s="38" t="s">
        <v>10108</v>
      </c>
      <c r="D650" s="38" t="s">
        <v>191</v>
      </c>
    </row>
    <row r="651" spans="1:4" hidden="1" x14ac:dyDescent="0.4">
      <c r="A651" s="39" t="s">
        <v>5344</v>
      </c>
      <c r="B651" s="40" t="str">
        <f>IFERROR(INDEX(Mots!$B:$B,MATCH($A651,Mots!$A:$A,0)),"introuvable")</f>
        <v>le bagage</v>
      </c>
      <c r="C651" s="38" t="s">
        <v>10108</v>
      </c>
    </row>
    <row r="652" spans="1:4" hidden="1" x14ac:dyDescent="0.4">
      <c r="A652" s="39" t="s">
        <v>5462</v>
      </c>
      <c r="B652" s="40" t="str">
        <f>IFERROR(INDEX(Mots!$B:$B,MATCH($A652,Mots!$A:$A,0)),"introuvable")</f>
        <v>le bouton</v>
      </c>
      <c r="C652" s="39" t="s">
        <v>298</v>
      </c>
    </row>
    <row r="653" spans="1:4" hidden="1" x14ac:dyDescent="0.4">
      <c r="A653" s="39" t="s">
        <v>5599</v>
      </c>
      <c r="B653" s="40" t="str">
        <f>IFERROR(INDEX(Mots!$B:$B,MATCH($A653,Mots!$A:$A,0)),"introuvable")</f>
        <v>le chapeau</v>
      </c>
      <c r="C653" s="39" t="s">
        <v>10060</v>
      </c>
    </row>
    <row r="654" spans="1:4" hidden="1" x14ac:dyDescent="0.4">
      <c r="A654" s="39" t="s">
        <v>5866</v>
      </c>
      <c r="B654" s="40" t="str">
        <f>IFERROR(INDEX(Mots!$B:$B,MATCH($A654,Mots!$A:$A,0)),"introuvable")</f>
        <v>le jardin</v>
      </c>
      <c r="C654" s="39" t="s">
        <v>87</v>
      </c>
    </row>
    <row r="655" spans="1:4" hidden="1" x14ac:dyDescent="0.4">
      <c r="A655" s="39" t="s">
        <v>5931</v>
      </c>
      <c r="B655" s="40" t="str">
        <f>IFERROR(INDEX(Mots!$B:$B,MATCH($A655,Mots!$A:$A,0)),"introuvable")</f>
        <v>le manteau</v>
      </c>
      <c r="C655" s="39" t="s">
        <v>298</v>
      </c>
    </row>
    <row r="656" spans="1:4" hidden="1" x14ac:dyDescent="0.4">
      <c r="A656" s="39" t="s">
        <v>5974</v>
      </c>
      <c r="B656" s="40" t="str">
        <f>IFERROR(INDEX(Mots!$B:$B,MATCH($A656,Mots!$A:$A,0)),"introuvable")</f>
        <v>le miel</v>
      </c>
      <c r="C656" s="39" t="s">
        <v>222</v>
      </c>
    </row>
    <row r="657" spans="1:4" hidden="1" x14ac:dyDescent="0.4">
      <c r="A657" s="39" t="s">
        <v>6172</v>
      </c>
      <c r="B657" s="40" t="str">
        <f>IFERROR(INDEX(Mots!$B:$B,MATCH($A657,Mots!$A:$A,0)),"introuvable")</f>
        <v>le plat</v>
      </c>
      <c r="C657" s="39" t="s">
        <v>186</v>
      </c>
    </row>
    <row r="658" spans="1:4" hidden="1" x14ac:dyDescent="0.4">
      <c r="A658" s="39" t="s">
        <v>6252</v>
      </c>
      <c r="B658" s="40" t="str">
        <f>IFERROR(INDEX(Mots!$B:$B,MATCH($A658,Mots!$A:$A,0)),"introuvable")</f>
        <v>le repas</v>
      </c>
      <c r="C658" s="39" t="s">
        <v>87</v>
      </c>
    </row>
    <row r="659" spans="1:4" hidden="1" x14ac:dyDescent="0.4">
      <c r="A659" s="39" t="s">
        <v>6277</v>
      </c>
      <c r="B659" s="40" t="str">
        <f>IFERROR(INDEX(Mots!$B:$B,MATCH($A659,Mots!$A:$A,0)),"introuvable")</f>
        <v>le rideau</v>
      </c>
      <c r="C659" s="39" t="s">
        <v>196</v>
      </c>
      <c r="D659" s="39" t="s">
        <v>191</v>
      </c>
    </row>
    <row r="660" spans="1:4" hidden="1" x14ac:dyDescent="0.4">
      <c r="A660" s="39" t="s">
        <v>6479</v>
      </c>
      <c r="B660" s="40" t="str">
        <f>IFERROR(INDEX(Mots!$B:$B,MATCH($A660,Mots!$A:$A,0)),"introuvable")</f>
        <v>le tonneau</v>
      </c>
      <c r="C660" s="39" t="s">
        <v>87</v>
      </c>
    </row>
    <row r="661" spans="1:4" hidden="1" x14ac:dyDescent="0.4">
      <c r="A661" s="39" t="s">
        <v>6591</v>
      </c>
      <c r="B661" s="40" t="str">
        <f>IFERROR(INDEX(Mots!$B:$B,MATCH($A661,Mots!$A:$A,0)),"introuvable")</f>
        <v>le voisin</v>
      </c>
      <c r="C661" s="39" t="s">
        <v>87</v>
      </c>
    </row>
    <row r="662" spans="1:4" hidden="1" x14ac:dyDescent="0.4">
      <c r="A662" s="39" t="s">
        <v>6712</v>
      </c>
      <c r="B662" s="40" t="str">
        <f>IFERROR(INDEX(Mots!$B:$B,MATCH($A662,Mots!$A:$A,0)),"introuvable")</f>
        <v>les ciseaux</v>
      </c>
      <c r="C662" s="39" t="s">
        <v>3218</v>
      </c>
      <c r="D662" s="39" t="s">
        <v>186</v>
      </c>
    </row>
    <row r="663" spans="1:4" hidden="1" x14ac:dyDescent="0.4">
      <c r="A663" s="39" t="s">
        <v>6715</v>
      </c>
      <c r="B663" s="40" t="str">
        <f>IFERROR(INDEX(Mots!$B:$B,MATCH($A663,Mots!$A:$A,0)),"introuvable")</f>
        <v>les gens</v>
      </c>
      <c r="C663" s="39" t="s">
        <v>87</v>
      </c>
    </row>
    <row r="664" spans="1:4" hidden="1" x14ac:dyDescent="0.4">
      <c r="A664" s="39" t="s">
        <v>6727</v>
      </c>
      <c r="B664" s="40" t="str">
        <f>IFERROR(INDEX(Mots!$B:$B,MATCH($A664,Mots!$A:$A,0)),"introuvable")</f>
        <v>les lunettes</v>
      </c>
      <c r="C664" s="39" t="s">
        <v>385</v>
      </c>
    </row>
    <row r="665" spans="1:4" hidden="1" x14ac:dyDescent="0.4">
      <c r="A665" s="39" t="s">
        <v>6884</v>
      </c>
      <c r="B665" s="40" t="str">
        <f>IFERROR(INDEX(Mots!$B:$B,MATCH($A665,Mots!$A:$A,0)),"introuvable")</f>
        <v>l'outil</v>
      </c>
      <c r="C665" s="39" t="s">
        <v>10108</v>
      </c>
    </row>
    <row r="666" spans="1:4" hidden="1" x14ac:dyDescent="0.4">
      <c r="A666" s="39" t="s">
        <v>7035</v>
      </c>
      <c r="B666" s="40" t="str">
        <f>IFERROR(INDEX(Mots!$B:$B,MATCH($A666,Mots!$A:$A,0)),"introuvable")</f>
        <v>Philippe Germanier</v>
      </c>
      <c r="C666" s="39" t="s">
        <v>87</v>
      </c>
    </row>
    <row r="667" spans="1:4" hidden="1" x14ac:dyDescent="0.4">
      <c r="A667" s="39" t="s">
        <v>7178</v>
      </c>
      <c r="B667" s="40" t="str">
        <f>IFERROR(INDEX(Mots!$B:$B,MATCH($A667,Mots!$A:$A,0)),"introuvable")</f>
        <v>Régis Evéquoz</v>
      </c>
      <c r="C667" s="39" t="s">
        <v>87</v>
      </c>
    </row>
    <row r="668" spans="1:4" hidden="1" x14ac:dyDescent="0.4">
      <c r="A668" s="39" t="s">
        <v>7323</v>
      </c>
      <c r="B668" s="40" t="str">
        <f>IFERROR(INDEX(Mots!$B:$B,MATCH($A668,Mots!$A:$A,0)),"introuvable")</f>
        <v>Stéphanie Germanier</v>
      </c>
      <c r="C668" s="39" t="s">
        <v>87</v>
      </c>
    </row>
    <row r="669" spans="1:4" hidden="1" x14ac:dyDescent="0.4">
      <c r="A669" s="39" t="s">
        <v>7449</v>
      </c>
      <c r="B669" s="40" t="str">
        <f>IFERROR(INDEX(Mots!$B:$B,MATCH($A669,Mots!$A:$A,0)),"introuvable")</f>
        <v>le yogurt</v>
      </c>
      <c r="C669" s="39" t="s">
        <v>222</v>
      </c>
    </row>
    <row r="670" spans="1:4" hidden="1" x14ac:dyDescent="0.4">
      <c r="A670" s="39" t="s">
        <v>7453</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7461</v>
      </c>
      <c r="B672" s="40" t="str">
        <f>IFERROR(INDEX(Mots!$B:$B,MATCH($A672,Mots!$A:$A,0)),"introuvable")</f>
        <v>le tiramisu</v>
      </c>
      <c r="C672" s="39" t="s">
        <v>5772</v>
      </c>
    </row>
    <row r="673" spans="1:6" hidden="1" x14ac:dyDescent="0.4">
      <c r="A673" s="39" t="s">
        <v>7465</v>
      </c>
      <c r="B673" s="40" t="str">
        <f>IFERROR(INDEX(Mots!$B:$B,MATCH($A673,Mots!$A:$A,0)),"introuvable")</f>
        <v>une coupe aux fraises</v>
      </c>
      <c r="C673" s="39" t="s">
        <v>5772</v>
      </c>
    </row>
    <row r="674" spans="1:6" hidden="1" x14ac:dyDescent="0.4">
      <c r="A674" s="39" t="s">
        <v>7469</v>
      </c>
      <c r="B674" s="40" t="str">
        <f>IFERROR(INDEX(Mots!$B:$B,MATCH($A674,Mots!$A:$A,0)),"introuvable")</f>
        <v>le big mac chez Mc Donald</v>
      </c>
      <c r="C674" s="39" t="s">
        <v>235</v>
      </c>
    </row>
    <row r="675" spans="1:6" hidden="1" x14ac:dyDescent="0.4">
      <c r="A675" s="39" t="s">
        <v>7473</v>
      </c>
      <c r="B675" s="40" t="str">
        <f>IFERROR(INDEX(Mots!$B:$B,MATCH($A675,Mots!$A:$A,0)),"introuvable")</f>
        <v>le carrelage</v>
      </c>
      <c r="C675" s="39" t="s">
        <v>201</v>
      </c>
      <c r="D675" s="39" t="s">
        <v>182</v>
      </c>
    </row>
    <row r="676" spans="1:6" hidden="1" x14ac:dyDescent="0.4">
      <c r="A676" s="39" t="s">
        <v>7477</v>
      </c>
      <c r="B676" s="40" t="str">
        <f>IFERROR(INDEX(Mots!$B:$B,MATCH($A676,Mots!$A:$A,0)),"introuvable")</f>
        <v>la poignée de la porte</v>
      </c>
      <c r="C676" s="39" t="s">
        <v>10108</v>
      </c>
    </row>
    <row r="677" spans="1:6" hidden="1" x14ac:dyDescent="0.4">
      <c r="A677" s="39" t="s">
        <v>7485</v>
      </c>
      <c r="B677" s="40" t="str">
        <f>IFERROR(INDEX(Mots!$B:$B,MATCH($A677,Mots!$A:$A,0)),"introuvable")</f>
        <v>la note</v>
      </c>
      <c r="C677" s="39" t="s">
        <v>152</v>
      </c>
    </row>
    <row r="678" spans="1:6" hidden="1" x14ac:dyDescent="0.4">
      <c r="A678" s="39" t="s">
        <v>7489</v>
      </c>
      <c r="B678" s="40" t="str">
        <f>IFERROR(INDEX(Mots!$B:$B,MATCH($A678,Mots!$A:$A,0)),"introuvable")</f>
        <v>la gamme</v>
      </c>
      <c r="C678" s="39" t="s">
        <v>152</v>
      </c>
    </row>
    <row r="679" spans="1:6" hidden="1" x14ac:dyDescent="0.4">
      <c r="A679" s="39" t="s">
        <v>7493</v>
      </c>
      <c r="B679" s="40" t="str">
        <f>IFERROR(INDEX(Mots!$B:$B,MATCH($A679,Mots!$A:$A,0)),"introuvable")</f>
        <v>le métronome</v>
      </c>
      <c r="C679" s="39" t="s">
        <v>147</v>
      </c>
    </row>
    <row r="680" spans="1:6" x14ac:dyDescent="0.4">
      <c r="A680" s="39" t="s">
        <v>7497</v>
      </c>
      <c r="B680" s="40" t="str">
        <f>IFERROR(INDEX(Mots!$B:$B,MATCH($A680,Mots!$A:$A,0)),"introuvable")</f>
        <v>le levier de vitesse</v>
      </c>
      <c r="C680" s="39" t="s">
        <v>251</v>
      </c>
    </row>
    <row r="681" spans="1:6" hidden="1" x14ac:dyDescent="0.4">
      <c r="A681" s="39" t="s">
        <v>7501</v>
      </c>
      <c r="B681" s="40" t="str">
        <f>IFERROR(INDEX(Mots!$B:$B,MATCH($A681,Mots!$A:$A,0)),"introuvable")</f>
        <v>récurrer</v>
      </c>
      <c r="C681" s="39" t="s">
        <v>218</v>
      </c>
    </row>
    <row r="682" spans="1:6" hidden="1" x14ac:dyDescent="0.4">
      <c r="A682" s="39" t="s">
        <v>7509</v>
      </c>
      <c r="B682" s="40" t="str">
        <f>IFERROR(INDEX(Mots!$B:$B,MATCH($A682,Mots!$A:$A,0)),"introuvable")</f>
        <v>le léopard</v>
      </c>
      <c r="C682" s="39" t="s">
        <v>283</v>
      </c>
    </row>
    <row r="683" spans="1:6" hidden="1" x14ac:dyDescent="0.4">
      <c r="A683" s="39" t="s">
        <v>7515</v>
      </c>
      <c r="B683" s="40" t="str">
        <f>IFERROR(INDEX(Mots!$B:$B,MATCH($A683,Mots!$A:$A,0)),"introuvable")</f>
        <v>le moustique</v>
      </c>
      <c r="C683" s="39" t="s">
        <v>293</v>
      </c>
    </row>
    <row r="684" spans="1:6" hidden="1" x14ac:dyDescent="0.4">
      <c r="A684" s="39" t="s">
        <v>7530</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10062</v>
      </c>
      <c r="B686" s="40" t="str">
        <f>IFERROR(INDEX(Mots!$B:$B,MATCH($A686,Mots!$A:$A,0)),"introuvable")</f>
        <v>L'imprimante</v>
      </c>
      <c r="C686" s="39" t="s">
        <v>3218</v>
      </c>
      <c r="D686" s="39" t="s">
        <v>352</v>
      </c>
    </row>
    <row r="687" spans="1:6" hidden="1" x14ac:dyDescent="0.4">
      <c r="A687" s="38" t="s">
        <v>6898</v>
      </c>
      <c r="B687" s="40" t="str">
        <f>IFERROR(INDEX(Mots!$B:$B,MATCH($A687,Mots!$A:$A,0)),"introuvable")</f>
        <v>l'usine</v>
      </c>
      <c r="F687" s="38" t="s">
        <v>366</v>
      </c>
    </row>
    <row r="688" spans="1:6" hidden="1" x14ac:dyDescent="0.4">
      <c r="A688" s="38" t="s">
        <v>9717</v>
      </c>
      <c r="B688" s="40" t="str">
        <f>IFERROR(INDEX(Mots!$B:$B,MATCH($A688,Mots!$A:$A,0)),"introuvable")</f>
        <v>Le lacet</v>
      </c>
      <c r="C688" s="38" t="s">
        <v>309</v>
      </c>
    </row>
    <row r="689" spans="1:5" hidden="1" x14ac:dyDescent="0.4">
      <c r="A689" s="38" t="s">
        <v>10096</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9711</v>
      </c>
      <c r="B691" s="40" t="str">
        <f>IFERROR(INDEX(Mots!$B:$B,MATCH($A691,Mots!$A:$A,0)),"introuvable")</f>
        <v>l'orteil</v>
      </c>
      <c r="C691" s="38" t="s">
        <v>329</v>
      </c>
    </row>
    <row r="692" spans="1:5" hidden="1" x14ac:dyDescent="0.4">
      <c r="A692" s="38" t="s">
        <v>6467</v>
      </c>
      <c r="B692" s="40" t="str">
        <f>IFERROR(INDEX(Mots!$B:$B,MATCH($A692,Mots!$A:$A,0)),"introuvable")</f>
        <v>le tiroir</v>
      </c>
      <c r="C692" s="38" t="s">
        <v>186</v>
      </c>
      <c r="D692" s="38" t="s">
        <v>10108</v>
      </c>
    </row>
    <row r="693" spans="1:5" hidden="1" x14ac:dyDescent="0.4">
      <c r="A693" s="38" t="s">
        <v>9692</v>
      </c>
      <c r="B693" s="40" t="str">
        <f>IFERROR(INDEX(Mots!$B:$B,MATCH($A693,Mots!$A:$A,0)),"introuvable")</f>
        <v>Le produit à vaisselle</v>
      </c>
      <c r="C693" s="38" t="s">
        <v>186</v>
      </c>
      <c r="D693" s="38" t="s">
        <v>10108</v>
      </c>
    </row>
    <row r="694" spans="1:5" hidden="1" x14ac:dyDescent="0.4">
      <c r="A694" s="38" t="s">
        <v>9632</v>
      </c>
      <c r="B694" s="40" t="str">
        <f>IFERROR(INDEX(Mots!$B:$B,MATCH($A694,Mots!$A:$A,0)),"introuvable")</f>
        <v>le mouchoir</v>
      </c>
      <c r="C694" s="38" t="s">
        <v>201</v>
      </c>
      <c r="D694" s="38" t="s">
        <v>196</v>
      </c>
      <c r="E694" s="38" t="s">
        <v>10110</v>
      </c>
    </row>
    <row r="695" spans="1:5" hidden="1" x14ac:dyDescent="0.4">
      <c r="A695" s="38" t="s">
        <v>9620</v>
      </c>
      <c r="B695" s="40" t="str">
        <f>IFERROR(INDEX(Mots!$B:$B,MATCH($A695,Mots!$A:$A,0)),"introuvable")</f>
        <v>la gourde</v>
      </c>
      <c r="C695" s="38" t="s">
        <v>186</v>
      </c>
      <c r="D695" s="38" t="s">
        <v>10110</v>
      </c>
    </row>
    <row r="696" spans="1:5" hidden="1" x14ac:dyDescent="0.4">
      <c r="A696" s="38" t="s">
        <v>9619</v>
      </c>
      <c r="B696" s="40" t="str">
        <f>IFERROR(INDEX(Mots!$B:$B,MATCH($A696,Mots!$A:$A,0)),"introuvable")</f>
        <v>les bâtons</v>
      </c>
      <c r="C696" s="38" t="s">
        <v>10108</v>
      </c>
      <c r="D696" s="38" t="s">
        <v>10110</v>
      </c>
    </row>
    <row r="697" spans="1:5" hidden="1" x14ac:dyDescent="0.4">
      <c r="A697" s="38" t="s">
        <v>6314</v>
      </c>
      <c r="B697" s="40" t="str">
        <f>IFERROR(INDEX(Mots!$B:$B,MATCH($A697,Mots!$A:$A,0)),"introuvable")</f>
        <v>le sac à dos</v>
      </c>
      <c r="C697" s="38" t="s">
        <v>10108</v>
      </c>
      <c r="D697" s="38" t="s">
        <v>10110</v>
      </c>
    </row>
    <row r="698" spans="1:5" hidden="1" x14ac:dyDescent="0.4">
      <c r="A698" s="38" t="s">
        <v>7643</v>
      </c>
      <c r="B698" s="40" t="str">
        <f>IFERROR(INDEX(Mots!$B:$B,MATCH($A698,Mots!$A:$A,0)),"introuvable")</f>
        <v>le produit ou gel de douche</v>
      </c>
      <c r="C698" s="38" t="s">
        <v>201</v>
      </c>
    </row>
    <row r="699" spans="1:5" hidden="1" x14ac:dyDescent="0.4">
      <c r="A699" s="38" t="s">
        <v>7544</v>
      </c>
      <c r="B699" s="40" t="str">
        <f>IFERROR(INDEX(Mots!$B:$B,MATCH($A699,Mots!$A:$A,0)),"introuvable")</f>
        <v>l'oncle Bernard</v>
      </c>
      <c r="C699" s="39" t="s">
        <v>164</v>
      </c>
    </row>
    <row r="700" spans="1:5" hidden="1" x14ac:dyDescent="0.4">
      <c r="A700" s="38" t="s">
        <v>7548</v>
      </c>
      <c r="B700" s="40" t="str">
        <f>IFERROR(INDEX(Mots!$B:$B,MATCH($A700,Mots!$A:$A,0)),"introuvable")</f>
        <v>l'oncle Marcel</v>
      </c>
      <c r="C700" s="39" t="s">
        <v>164</v>
      </c>
    </row>
    <row r="701" spans="1:5" hidden="1" x14ac:dyDescent="0.4">
      <c r="A701" s="38" t="s">
        <v>7552</v>
      </c>
      <c r="B701" s="40" t="str">
        <f>IFERROR(INDEX(Mots!$B:$B,MATCH($A701,Mots!$A:$A,0)),"introuvable")</f>
        <v>tante Lucienne</v>
      </c>
      <c r="C701" s="39" t="s">
        <v>164</v>
      </c>
    </row>
    <row r="702" spans="1:5" hidden="1" x14ac:dyDescent="0.4">
      <c r="A702" s="38" t="s">
        <v>7556</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7535</v>
      </c>
      <c r="B704" s="40" t="str">
        <f>IFERROR(INDEX(Mots!$B:$B,MATCH($A704,Mots!$A:$A,0)),"introuvable")</f>
        <v>grand-maman Emma</v>
      </c>
      <c r="C704" s="39" t="s">
        <v>164</v>
      </c>
    </row>
    <row r="705" spans="1:6" hidden="1" x14ac:dyDescent="0.4">
      <c r="A705" s="38" t="s">
        <v>7540</v>
      </c>
      <c r="B705" s="40" t="str">
        <f>IFERROR(INDEX(Mots!$B:$B,MATCH($A705,Mots!$A:$A,0)),"introuvable")</f>
        <v>grand-papa Maurice</v>
      </c>
      <c r="C705" s="39" t="s">
        <v>164</v>
      </c>
    </row>
    <row r="706" spans="1:6" hidden="1" x14ac:dyDescent="0.4">
      <c r="A706" s="38" t="s">
        <v>9594</v>
      </c>
      <c r="B706" s="40" t="str">
        <f>IFERROR(INDEX(Mots!$B:$B,MATCH($A706,Mots!$A:$A,0)),"introuvable")</f>
        <v>le noyer</v>
      </c>
      <c r="C706" s="39" t="s">
        <v>348</v>
      </c>
    </row>
    <row r="707" spans="1:6" hidden="1" x14ac:dyDescent="0.4">
      <c r="A707" s="38" t="s">
        <v>9575</v>
      </c>
      <c r="B707" s="40" t="str">
        <f>IFERROR(INDEX(Mots!$B:$B,MATCH($A707,Mots!$A:$A,0)),"introuvable")</f>
        <v>la barbe</v>
      </c>
      <c r="C707" s="38" t="s">
        <v>1029</v>
      </c>
    </row>
    <row r="708" spans="1:6" hidden="1" x14ac:dyDescent="0.4">
      <c r="A708" s="38" t="s">
        <v>9507</v>
      </c>
      <c r="B708" s="40" t="str">
        <f>IFERROR(INDEX(Mots!$B:$B,MATCH($A708,Mots!$A:$A,0)),"introuvable")</f>
        <v>le tronc</v>
      </c>
      <c r="C708" s="39" t="s">
        <v>348</v>
      </c>
    </row>
    <row r="709" spans="1:6" hidden="1" x14ac:dyDescent="0.4">
      <c r="A709" s="38" t="s">
        <v>6491</v>
      </c>
      <c r="B709" s="40" t="str">
        <f>IFERROR(INDEX(Mots!$B:$B,MATCH($A709,Mots!$A:$A,0)),"introuvable")</f>
        <v>le tournevis</v>
      </c>
      <c r="C709" s="38" t="s">
        <v>10108</v>
      </c>
    </row>
    <row r="710" spans="1:6" hidden="1" x14ac:dyDescent="0.4">
      <c r="A710" s="38" t="s">
        <v>6322</v>
      </c>
      <c r="B710" s="40" t="str">
        <f>IFERROR(INDEX(Mots!$B:$B,MATCH($A710,Mots!$A:$A,0)),"introuvable")</f>
        <v>le seau</v>
      </c>
      <c r="C710" s="38" t="s">
        <v>10108</v>
      </c>
    </row>
    <row r="711" spans="1:6" hidden="1" x14ac:dyDescent="0.4">
      <c r="A711" s="38" t="s">
        <v>5951</v>
      </c>
      <c r="B711" s="40" t="str">
        <f>IFERROR(INDEX(Mots!$B:$B,MATCH($A711,Mots!$A:$A,0)),"introuvable")</f>
        <v>le médicament</v>
      </c>
      <c r="C711" s="38" t="s">
        <v>201</v>
      </c>
      <c r="D711" s="38" t="s">
        <v>186</v>
      </c>
    </row>
    <row r="712" spans="1:6" hidden="1" x14ac:dyDescent="0.4">
      <c r="A712" s="38" t="s">
        <v>5935</v>
      </c>
      <c r="B712" s="40" t="str">
        <f>IFERROR(INDEX(Mots!$B:$B,MATCH($A712,Mots!$A:$A,0)),"introuvable")</f>
        <v>le marteau</v>
      </c>
      <c r="C712" s="38" t="s">
        <v>10108</v>
      </c>
    </row>
    <row r="713" spans="1:6" hidden="1" x14ac:dyDescent="0.4">
      <c r="A713" s="38" t="s">
        <v>6451</v>
      </c>
      <c r="B713" s="40" t="str">
        <f>IFERROR(INDEX(Mots!$B:$B,MATCH($A713,Mots!$A:$A,0)),"introuvable")</f>
        <v>le thermomètre</v>
      </c>
      <c r="C713" s="38" t="s">
        <v>201</v>
      </c>
    </row>
    <row r="714" spans="1:6" hidden="1" x14ac:dyDescent="0.4">
      <c r="A714" s="38" t="s">
        <v>6519</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9505</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9487</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9473</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9515</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9585</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9614</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9535</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10088</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la lumière</v>
      </c>
    </row>
    <row r="922" spans="1:2" hidden="1" x14ac:dyDescent="0.4">
      <c r="A922" s="38" t="s">
        <v>4608</v>
      </c>
      <c r="B922" s="40" t="str">
        <f>IFERROR(INDEX(Mots!$B:$B,MATCH($A922,Mots!$A:$A,0)),"introuvable")</f>
        <v>la lutte</v>
      </c>
    </row>
    <row r="923" spans="1:2" hidden="1" x14ac:dyDescent="0.4">
      <c r="A923" s="38" t="s">
        <v>4616</v>
      </c>
      <c r="B923" s="40" t="str">
        <f>IFERROR(INDEX(Mots!$B:$B,MATCH($A923,Mots!$A:$A,0)),"introuvable")</f>
        <v>la machine</v>
      </c>
    </row>
    <row r="924" spans="1:2" hidden="1" x14ac:dyDescent="0.4">
      <c r="A924" s="38" t="s">
        <v>4622</v>
      </c>
      <c r="B924" s="40" t="str">
        <f>IFERROR(INDEX(Mots!$B:$B,MATCH($A924,Mots!$A:$A,0)),"introuvable")</f>
        <v>la maladie</v>
      </c>
    </row>
    <row r="925" spans="1:2" hidden="1" x14ac:dyDescent="0.4">
      <c r="A925" s="38" t="s">
        <v>4626</v>
      </c>
      <c r="B925" s="40" t="str">
        <f>IFERROR(INDEX(Mots!$B:$B,MATCH($A925,Mots!$A:$A,0)),"introuvable")</f>
        <v>la manche</v>
      </c>
    </row>
    <row r="926" spans="1:2" hidden="1" x14ac:dyDescent="0.4">
      <c r="A926" s="38" t="s">
        <v>4630</v>
      </c>
      <c r="B926" s="40" t="str">
        <f>IFERROR(INDEX(Mots!$B:$B,MATCH($A926,Mots!$A:$A,0)),"introuvable")</f>
        <v>la manière</v>
      </c>
    </row>
    <row r="927" spans="1:2" hidden="1" x14ac:dyDescent="0.4">
      <c r="A927" s="38" t="s">
        <v>4637</v>
      </c>
      <c r="B927" s="40" t="str">
        <f>IFERROR(INDEX(Mots!$B:$B,MATCH($A927,Mots!$A:$A,0)),"introuvable")</f>
        <v>la marée</v>
      </c>
    </row>
    <row r="928" spans="1:2" hidden="1" x14ac:dyDescent="0.4">
      <c r="A928" s="38" t="s">
        <v>4641</v>
      </c>
      <c r="B928" s="40" t="str">
        <f>IFERROR(INDEX(Mots!$B:$B,MATCH($A928,Mots!$A:$A,0)),"introuvable")</f>
        <v>la masse</v>
      </c>
    </row>
    <row r="929" spans="1:2" hidden="1" x14ac:dyDescent="0.4">
      <c r="A929" s="38" t="s">
        <v>4645</v>
      </c>
      <c r="B929" s="40" t="str">
        <f>IFERROR(INDEX(Mots!$B:$B,MATCH($A929,Mots!$A:$A,0)),"introuvable")</f>
        <v>la matière</v>
      </c>
    </row>
    <row r="930" spans="1:2" hidden="1" x14ac:dyDescent="0.4">
      <c r="A930" s="38" t="s">
        <v>4649</v>
      </c>
      <c r="B930" s="40" t="str">
        <f>IFERROR(INDEX(Mots!$B:$B,MATCH($A930,Mots!$A:$A,0)),"introuvable")</f>
        <v>la méfiance</v>
      </c>
    </row>
    <row r="931" spans="1:2" hidden="1" x14ac:dyDescent="0.4">
      <c r="A931" s="38" t="s">
        <v>4653</v>
      </c>
      <c r="B931" s="40" t="str">
        <f>IFERROR(INDEX(Mots!$B:$B,MATCH($A931,Mots!$A:$A,0)),"introuvable")</f>
        <v>la mémoire</v>
      </c>
    </row>
    <row r="932" spans="1:2" hidden="1" x14ac:dyDescent="0.4">
      <c r="A932" s="38" t="s">
        <v>4657</v>
      </c>
      <c r="B932" s="40" t="str">
        <f>IFERROR(INDEX(Mots!$B:$B,MATCH($A932,Mots!$A:$A,0)),"introuvable")</f>
        <v>la météo</v>
      </c>
    </row>
    <row r="933" spans="1:2" hidden="1" x14ac:dyDescent="0.4">
      <c r="A933" s="38" t="s">
        <v>4664</v>
      </c>
      <c r="B933" s="40" t="str">
        <f>IFERROR(INDEX(Mots!$B:$B,MATCH($A933,Mots!$A:$A,0)),"introuvable")</f>
        <v>la moitié</v>
      </c>
    </row>
    <row r="934" spans="1:2" hidden="1" x14ac:dyDescent="0.4">
      <c r="A934" s="38" t="s">
        <v>4670</v>
      </c>
      <c r="B934" s="40" t="str">
        <f>IFERROR(INDEX(Mots!$B:$B,MATCH($A934,Mots!$A:$A,0)),"introuvable")</f>
        <v>la montre</v>
      </c>
    </row>
    <row r="935" spans="1:2" hidden="1" x14ac:dyDescent="0.4">
      <c r="A935" s="38" t="s">
        <v>4678</v>
      </c>
      <c r="B935" s="40" t="str">
        <f>IFERROR(INDEX(Mots!$B:$B,MATCH($A935,Mots!$A:$A,0)),"introuvable")</f>
        <v>la mousse</v>
      </c>
    </row>
    <row r="936" spans="1:2" hidden="1" x14ac:dyDescent="0.4">
      <c r="A936" s="38" t="s">
        <v>4686</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4693</v>
      </c>
      <c r="B938" s="40" t="str">
        <f>IFERROR(INDEX(Mots!$B:$B,MATCH($A938,Mots!$A:$A,0)),"introuvable")</f>
        <v>la neige</v>
      </c>
    </row>
    <row r="939" spans="1:2" hidden="1" x14ac:dyDescent="0.4">
      <c r="A939" s="38" t="s">
        <v>4697</v>
      </c>
      <c r="B939" s="40" t="str">
        <f>IFERROR(INDEX(Mots!$B:$B,MATCH($A939,Mots!$A:$A,0)),"introuvable")</f>
        <v>la nouvelle</v>
      </c>
    </row>
    <row r="940" spans="1:2" hidden="1" x14ac:dyDescent="0.4">
      <c r="A940" s="38" t="s">
        <v>4705</v>
      </c>
      <c r="B940" s="40" t="str">
        <f>IFERROR(INDEX(Mots!$B:$B,MATCH($A940,Mots!$A:$A,0)),"introuvable")</f>
        <v>la nuance</v>
      </c>
    </row>
    <row r="941" spans="1:2" hidden="1" x14ac:dyDescent="0.4">
      <c r="A941" s="38" t="s">
        <v>4711</v>
      </c>
      <c r="B941" s="40" t="str">
        <f>IFERROR(INDEX(Mots!$B:$B,MATCH($A941,Mots!$A:$A,0)),"introuvable")</f>
        <v>la page</v>
      </c>
    </row>
    <row r="942" spans="1:2" hidden="1" x14ac:dyDescent="0.4">
      <c r="A942" s="38" t="s">
        <v>4715</v>
      </c>
      <c r="B942" s="40" t="str">
        <f>IFERROR(INDEX(Mots!$B:$B,MATCH($A942,Mots!$A:$A,0)),"introuvable")</f>
        <v>la paix</v>
      </c>
    </row>
    <row r="943" spans="1:2" hidden="1" x14ac:dyDescent="0.4">
      <c r="A943" s="38" t="s">
        <v>4719</v>
      </c>
      <c r="B943" s="40" t="str">
        <f>IFERROR(INDEX(Mots!$B:$B,MATCH($A943,Mots!$A:$A,0)),"introuvable")</f>
        <v>la panne</v>
      </c>
    </row>
    <row r="944" spans="1:2" hidden="1" x14ac:dyDescent="0.4">
      <c r="A944" s="38" t="s">
        <v>4727</v>
      </c>
      <c r="B944" s="40" t="str">
        <f>IFERROR(INDEX(Mots!$B:$B,MATCH($A944,Mots!$A:$A,0)),"introuvable")</f>
        <v>la paroi</v>
      </c>
    </row>
    <row r="945" spans="1:3" hidden="1" x14ac:dyDescent="0.4">
      <c r="A945" s="38" t="s">
        <v>4733</v>
      </c>
      <c r="B945" s="40" t="str">
        <f>IFERROR(INDEX(Mots!$B:$B,MATCH($A945,Mots!$A:$A,0)),"introuvable")</f>
        <v>la part</v>
      </c>
    </row>
    <row r="946" spans="1:3" hidden="1" x14ac:dyDescent="0.4">
      <c r="A946" s="38" t="s">
        <v>4738</v>
      </c>
      <c r="B946" s="40" t="str">
        <f>IFERROR(INDEX(Mots!$B:$B,MATCH($A946,Mots!$A:$A,0)),"introuvable")</f>
        <v>la partie</v>
      </c>
    </row>
    <row r="947" spans="1:3" hidden="1" x14ac:dyDescent="0.4">
      <c r="A947" s="38" t="s">
        <v>4741</v>
      </c>
      <c r="B947" s="40" t="str">
        <f>IFERROR(INDEX(Mots!$B:$B,MATCH($A947,Mots!$A:$A,0)),"introuvable")</f>
        <v>la patience</v>
      </c>
    </row>
    <row r="948" spans="1:3" hidden="1" x14ac:dyDescent="0.4">
      <c r="A948" s="38" t="s">
        <v>4745</v>
      </c>
      <c r="B948" s="40" t="str">
        <f>IFERROR(INDEX(Mots!$B:$B,MATCH($A948,Mots!$A:$A,0)),"introuvable")</f>
        <v>la patte</v>
      </c>
    </row>
    <row r="949" spans="1:3" hidden="1" x14ac:dyDescent="0.4">
      <c r="A949" s="38" t="s">
        <v>4751</v>
      </c>
      <c r="B949" s="40" t="str">
        <f>IFERROR(INDEX(Mots!$B:$B,MATCH($A949,Mots!$A:$A,0)),"introuvable")</f>
        <v>la peine</v>
      </c>
    </row>
    <row r="950" spans="1:3" hidden="1" x14ac:dyDescent="0.4">
      <c r="A950" s="38" t="s">
        <v>4757</v>
      </c>
      <c r="B950" s="40" t="str">
        <f>IFERROR(INDEX(Mots!$B:$B,MATCH($A950,Mots!$A:$A,0)),"introuvable")</f>
        <v>la peinture</v>
      </c>
    </row>
    <row r="951" spans="1:3" hidden="1" x14ac:dyDescent="0.4">
      <c r="A951" s="38" t="s">
        <v>4765</v>
      </c>
      <c r="B951" s="40" t="str">
        <f>IFERROR(INDEX(Mots!$B:$B,MATCH($A951,Mots!$A:$A,0)),"introuvable")</f>
        <v>la pensée</v>
      </c>
    </row>
    <row r="952" spans="1:3" hidden="1" x14ac:dyDescent="0.4">
      <c r="A952" s="38" t="s">
        <v>4770</v>
      </c>
      <c r="B952" s="40" t="str">
        <f>IFERROR(INDEX(Mots!$B:$B,MATCH($A952,Mots!$A:$A,0)),"introuvable")</f>
        <v>la période</v>
      </c>
    </row>
    <row r="953" spans="1:3" hidden="1" x14ac:dyDescent="0.4">
      <c r="A953" s="38" t="s">
        <v>4777</v>
      </c>
      <c r="B953" s="40" t="str">
        <f>IFERROR(INDEX(Mots!$B:$B,MATCH($A953,Mots!$A:$A,0)),"introuvable")</f>
        <v>la perte</v>
      </c>
    </row>
    <row r="954" spans="1:3" hidden="1" x14ac:dyDescent="0.4">
      <c r="A954" s="38" t="s">
        <v>4784</v>
      </c>
      <c r="B954" s="40" t="str">
        <f>IFERROR(INDEX(Mots!$B:$B,MATCH($A954,Mots!$A:$A,0)),"introuvable")</f>
        <v>la pharmacie</v>
      </c>
    </row>
    <row r="955" spans="1:3" hidden="1" x14ac:dyDescent="0.4">
      <c r="A955" s="38" t="s">
        <v>4792</v>
      </c>
      <c r="B955" s="40" t="str">
        <f>IFERROR(INDEX(Mots!$B:$B,MATCH($A955,Mots!$A:$A,0)),"introuvable")</f>
        <v>la photo</v>
      </c>
    </row>
    <row r="956" spans="1:3" hidden="1" x14ac:dyDescent="0.4">
      <c r="A956" s="38" t="s">
        <v>4800</v>
      </c>
      <c r="B956" s="40" t="str">
        <f>IFERROR(INDEX(Mots!$B:$B,MATCH($A956,Mots!$A:$A,0)),"introuvable")</f>
        <v>la pierre</v>
      </c>
    </row>
    <row r="957" spans="1:3" hidden="1" x14ac:dyDescent="0.4">
      <c r="A957" s="38" t="s">
        <v>4808</v>
      </c>
      <c r="B957" s="40" t="str">
        <f>IFERROR(INDEX(Mots!$B:$B,MATCH($A957,Mots!$A:$A,0)),"introuvable")</f>
        <v>la pince</v>
      </c>
    </row>
    <row r="958" spans="1:3" hidden="1" x14ac:dyDescent="0.4">
      <c r="A958" s="38" t="s">
        <v>4816</v>
      </c>
      <c r="B958" s="40" t="str">
        <f>IFERROR(INDEX(Mots!$B:$B,MATCH($A958,Mots!$A:$A,0)),"introuvable")</f>
        <v>la piqûre</v>
      </c>
    </row>
    <row r="959" spans="1:3" hidden="1" x14ac:dyDescent="0.4">
      <c r="A959" s="38" t="s">
        <v>4824</v>
      </c>
      <c r="B959" s="40" t="str">
        <f>IFERROR(INDEX(Mots!$B:$B,MATCH($A959,Mots!$A:$A,0)),"introuvable")</f>
        <v>la piscine</v>
      </c>
      <c r="C959" s="38" t="s">
        <v>182</v>
      </c>
    </row>
    <row r="960" spans="1:3" hidden="1" x14ac:dyDescent="0.4">
      <c r="A960" s="38" t="s">
        <v>4832</v>
      </c>
      <c r="B960" s="40" t="str">
        <f>IFERROR(INDEX(Mots!$B:$B,MATCH($A960,Mots!$A:$A,0)),"introuvable")</f>
        <v>la pitié</v>
      </c>
    </row>
    <row r="961" spans="1:2" hidden="1" x14ac:dyDescent="0.4">
      <c r="A961" s="38" t="s">
        <v>4837</v>
      </c>
      <c r="B961" s="40" t="str">
        <f>IFERROR(INDEX(Mots!$B:$B,MATCH($A961,Mots!$A:$A,0)),"introuvable")</f>
        <v>la place</v>
      </c>
    </row>
    <row r="962" spans="1:2" hidden="1" x14ac:dyDescent="0.4">
      <c r="A962" s="38" t="s">
        <v>4841</v>
      </c>
      <c r="B962" s="40" t="str">
        <f>IFERROR(INDEX(Mots!$B:$B,MATCH($A962,Mots!$A:$A,0)),"introuvable")</f>
        <v>la plage</v>
      </c>
    </row>
    <row r="963" spans="1:2" hidden="1" x14ac:dyDescent="0.4">
      <c r="A963" s="38" t="s">
        <v>4849</v>
      </c>
      <c r="B963" s="40" t="str">
        <f>IFERROR(INDEX(Mots!$B:$B,MATCH($A963,Mots!$A:$A,0)),"introuvable")</f>
        <v>la planète</v>
      </c>
    </row>
    <row r="964" spans="1:2" hidden="1" x14ac:dyDescent="0.4">
      <c r="A964" s="38" t="s">
        <v>4857</v>
      </c>
      <c r="B964" s="40" t="str">
        <f>IFERROR(INDEX(Mots!$B:$B,MATCH($A964,Mots!$A:$A,0)),"introuvable")</f>
        <v>la pluie</v>
      </c>
    </row>
    <row r="965" spans="1:2" hidden="1" x14ac:dyDescent="0.4">
      <c r="A965" s="38" t="s">
        <v>4865</v>
      </c>
      <c r="B965" s="40" t="str">
        <f>IFERROR(INDEX(Mots!$B:$B,MATCH($A965,Mots!$A:$A,0)),"introuvable")</f>
        <v>la plume</v>
      </c>
    </row>
    <row r="966" spans="1:2" hidden="1" x14ac:dyDescent="0.4">
      <c r="A966" s="38" t="s">
        <v>4877</v>
      </c>
      <c r="B966" s="40" t="str">
        <f>IFERROR(INDEX(Mots!$B:$B,MATCH($A966,Mots!$A:$A,0)),"introuvable")</f>
        <v>la politesse</v>
      </c>
    </row>
    <row r="967" spans="1:2" hidden="1" x14ac:dyDescent="0.4">
      <c r="A967" s="38" t="s">
        <v>4880</v>
      </c>
      <c r="B967" s="40" t="str">
        <f>IFERROR(INDEX(Mots!$B:$B,MATCH($A967,Mots!$A:$A,0)),"introuvable")</f>
        <v>la pommade</v>
      </c>
    </row>
    <row r="968" spans="1:2" hidden="1" x14ac:dyDescent="0.4">
      <c r="A968" s="38" t="s">
        <v>4888</v>
      </c>
      <c r="B968" s="40" t="str">
        <f>IFERROR(INDEX(Mots!$B:$B,MATCH($A968,Mots!$A:$A,0)),"introuvable")</f>
        <v>la possibilité</v>
      </c>
    </row>
    <row r="969" spans="1:2" hidden="1" x14ac:dyDescent="0.4">
      <c r="A969" s="38" t="s">
        <v>4894</v>
      </c>
      <c r="B969" s="40" t="str">
        <f>IFERROR(INDEX(Mots!$B:$B,MATCH($A969,Mots!$A:$A,0)),"introuvable")</f>
        <v>la poste</v>
      </c>
    </row>
    <row r="970" spans="1:2" hidden="1" x14ac:dyDescent="0.4">
      <c r="A970" s="38" t="s">
        <v>4901</v>
      </c>
      <c r="B970" s="40" t="str">
        <f>IFERROR(INDEX(Mots!$B:$B,MATCH($A970,Mots!$A:$A,0)),"introuvable")</f>
        <v>la poubelle</v>
      </c>
    </row>
    <row r="971" spans="1:2" hidden="1" x14ac:dyDescent="0.4">
      <c r="A971" s="38" t="s">
        <v>4909</v>
      </c>
      <c r="B971" s="40" t="str">
        <f>IFERROR(INDEX(Mots!$B:$B,MATCH($A971,Mots!$A:$A,0)),"introuvable")</f>
        <v>la poudre</v>
      </c>
    </row>
    <row r="972" spans="1:2" hidden="1" x14ac:dyDescent="0.4">
      <c r="A972" s="38" t="s">
        <v>4913</v>
      </c>
      <c r="B972" s="40" t="str">
        <f>IFERROR(INDEX(Mots!$B:$B,MATCH($A972,Mots!$A:$A,0)),"introuvable")</f>
        <v>la poussière</v>
      </c>
    </row>
    <row r="973" spans="1:2" hidden="1" x14ac:dyDescent="0.4">
      <c r="A973" s="38" t="s">
        <v>4921</v>
      </c>
      <c r="B973" s="40" t="str">
        <f>IFERROR(INDEX(Mots!$B:$B,MATCH($A973,Mots!$A:$A,0)),"introuvable")</f>
        <v>la prairie</v>
      </c>
    </row>
    <row r="974" spans="1:2" hidden="1" x14ac:dyDescent="0.4">
      <c r="A974" s="38" t="s">
        <v>4929</v>
      </c>
      <c r="B974" s="40" t="str">
        <f>IFERROR(INDEX(Mots!$B:$B,MATCH($A974,Mots!$A:$A,0)),"introuvable")</f>
        <v>la preuve</v>
      </c>
    </row>
    <row r="975" spans="1:2" hidden="1" x14ac:dyDescent="0.4">
      <c r="A975" s="38" t="s">
        <v>4936</v>
      </c>
      <c r="B975" s="40" t="str">
        <f>IFERROR(INDEX(Mots!$B:$B,MATCH($A975,Mots!$A:$A,0)),"introuvable")</f>
        <v>la promenade</v>
      </c>
    </row>
    <row r="976" spans="1:2" hidden="1" x14ac:dyDescent="0.4">
      <c r="A976" s="38" t="s">
        <v>4944</v>
      </c>
      <c r="B976" s="40" t="str">
        <f>IFERROR(INDEX(Mots!$B:$B,MATCH($A976,Mots!$A:$A,0)),"introuvable")</f>
        <v>la promesse</v>
      </c>
    </row>
    <row r="977" spans="1:2" hidden="1" x14ac:dyDescent="0.4">
      <c r="A977" s="38" t="s">
        <v>4948</v>
      </c>
      <c r="B977" s="40" t="str">
        <f>IFERROR(INDEX(Mots!$B:$B,MATCH($A977,Mots!$A:$A,0)),"introuvable")</f>
        <v>la protection</v>
      </c>
    </row>
    <row r="978" spans="1:2" hidden="1" x14ac:dyDescent="0.4">
      <c r="A978" s="38" t="s">
        <v>4952</v>
      </c>
      <c r="B978" s="40" t="str">
        <f>IFERROR(INDEX(Mots!$B:$B,MATCH($A978,Mots!$A:$A,0)),"introuvable")</f>
        <v>la qualité</v>
      </c>
    </row>
    <row r="979" spans="1:2" hidden="1" x14ac:dyDescent="0.4">
      <c r="A979" s="38" t="s">
        <v>4956</v>
      </c>
      <c r="B979" s="40" t="str">
        <f>IFERROR(INDEX(Mots!$B:$B,MATCH($A979,Mots!$A:$A,0)),"introuvable")</f>
        <v>la quantité</v>
      </c>
    </row>
    <row r="980" spans="1:2" hidden="1" x14ac:dyDescent="0.4">
      <c r="A980" s="38" t="s">
        <v>4960</v>
      </c>
      <c r="B980" s="40" t="str">
        <f>IFERROR(INDEX(Mots!$B:$B,MATCH($A980,Mots!$A:$A,0)),"introuvable")</f>
        <v>la question</v>
      </c>
    </row>
    <row r="981" spans="1:2" hidden="1" x14ac:dyDescent="0.4">
      <c r="A981" s="38" t="s">
        <v>4964</v>
      </c>
      <c r="B981" s="40" t="str">
        <f>IFERROR(INDEX(Mots!$B:$B,MATCH($A981,Mots!$A:$A,0)),"introuvable")</f>
        <v>la queue</v>
      </c>
    </row>
    <row r="982" spans="1:2" hidden="1" x14ac:dyDescent="0.4">
      <c r="A982" s="38" t="s">
        <v>4972</v>
      </c>
      <c r="B982" s="40" t="str">
        <f>IFERROR(INDEX(Mots!$B:$B,MATCH($A982,Mots!$A:$A,0)),"introuvable")</f>
        <v>la racine</v>
      </c>
    </row>
    <row r="983" spans="1:2" hidden="1" x14ac:dyDescent="0.4">
      <c r="A983" s="38" t="s">
        <v>4980</v>
      </c>
      <c r="B983" s="40" t="str">
        <f>IFERROR(INDEX(Mots!$B:$B,MATCH($A983,Mots!$A:$A,0)),"introuvable")</f>
        <v>la randonnée</v>
      </c>
    </row>
    <row r="984" spans="1:2" hidden="1" x14ac:dyDescent="0.4">
      <c r="A984" s="38" t="s">
        <v>4988</v>
      </c>
      <c r="B984" s="40" t="str">
        <f>IFERROR(INDEX(Mots!$B:$B,MATCH($A984,Mots!$A:$A,0)),"introuvable")</f>
        <v>la rapidité</v>
      </c>
    </row>
    <row r="985" spans="1:2" hidden="1" x14ac:dyDescent="0.4">
      <c r="A985" s="38" t="s">
        <v>4995</v>
      </c>
      <c r="B985" s="40" t="str">
        <f>IFERROR(INDEX(Mots!$B:$B,MATCH($A985,Mots!$A:$A,0)),"introuvable")</f>
        <v>la réaction</v>
      </c>
    </row>
    <row r="986" spans="1:2" hidden="1" x14ac:dyDescent="0.4">
      <c r="A986" s="38" t="s">
        <v>5000</v>
      </c>
      <c r="B986" s="40" t="str">
        <f>IFERROR(INDEX(Mots!$B:$B,MATCH($A986,Mots!$A:$A,0)),"introuvable")</f>
        <v>la récolte</v>
      </c>
    </row>
    <row r="987" spans="1:2" hidden="1" x14ac:dyDescent="0.4">
      <c r="A987" s="38" t="s">
        <v>5008</v>
      </c>
      <c r="B987" s="40" t="str">
        <f>IFERROR(INDEX(Mots!$B:$B,MATCH($A987,Mots!$A:$A,0)),"introuvable")</f>
        <v>la réconciliation</v>
      </c>
    </row>
    <row r="988" spans="1:2" hidden="1" x14ac:dyDescent="0.4">
      <c r="A988" s="38" t="s">
        <v>5012</v>
      </c>
      <c r="B988" s="40" t="str">
        <f>IFERROR(INDEX(Mots!$B:$B,MATCH($A988,Mots!$A:$A,0)),"introuvable")</f>
        <v>la rencontre</v>
      </c>
    </row>
    <row r="989" spans="1:2" hidden="1" x14ac:dyDescent="0.4">
      <c r="A989" s="38" t="s">
        <v>5016</v>
      </c>
      <c r="B989" s="40" t="str">
        <f>IFERROR(INDEX(Mots!$B:$B,MATCH($A989,Mots!$A:$A,0)),"introuvable")</f>
        <v>la réparation</v>
      </c>
    </row>
    <row r="990" spans="1:2" hidden="1" x14ac:dyDescent="0.4">
      <c r="A990" s="38" t="s">
        <v>5020</v>
      </c>
      <c r="B990" s="40" t="str">
        <f>IFERROR(INDEX(Mots!$B:$B,MATCH($A990,Mots!$A:$A,0)),"introuvable")</f>
        <v>la réponse</v>
      </c>
    </row>
    <row r="991" spans="1:2" hidden="1" x14ac:dyDescent="0.4">
      <c r="A991" s="38" t="s">
        <v>5028</v>
      </c>
      <c r="B991" s="40" t="str">
        <f>IFERROR(INDEX(Mots!$B:$B,MATCH($A991,Mots!$A:$A,0)),"introuvable")</f>
        <v>la roche</v>
      </c>
    </row>
    <row r="992" spans="1:2" hidden="1" x14ac:dyDescent="0.4">
      <c r="A992" s="38" t="s">
        <v>5036</v>
      </c>
      <c r="B992" s="40" t="str">
        <f>IFERROR(INDEX(Mots!$B:$B,MATCH($A992,Mots!$A:$A,0)),"introuvable")</f>
        <v>la rosée</v>
      </c>
    </row>
    <row r="993" spans="1:2" hidden="1" x14ac:dyDescent="0.4">
      <c r="A993" s="38" t="s">
        <v>5041</v>
      </c>
      <c r="B993" s="40" t="str">
        <f>IFERROR(INDEX(Mots!$B:$B,MATCH($A993,Mots!$A:$A,0)),"introuvable")</f>
        <v>la roue</v>
      </c>
    </row>
    <row r="994" spans="1:2" hidden="1" x14ac:dyDescent="0.4">
      <c r="A994" s="38" t="s">
        <v>5049</v>
      </c>
      <c r="B994" s="40" t="str">
        <f>IFERROR(INDEX(Mots!$B:$B,MATCH($A994,Mots!$A:$A,0)),"introuvable")</f>
        <v>la saleté</v>
      </c>
    </row>
    <row r="995" spans="1:2" hidden="1" x14ac:dyDescent="0.4">
      <c r="A995" s="38" t="s">
        <v>5057</v>
      </c>
      <c r="B995" s="40" t="str">
        <f>IFERROR(INDEX(Mots!$B:$B,MATCH($A995,Mots!$A:$A,0)),"introuvable")</f>
        <v>la santé</v>
      </c>
    </row>
    <row r="996" spans="1:2" hidden="1" x14ac:dyDescent="0.4">
      <c r="A996" s="38" t="s">
        <v>5061</v>
      </c>
      <c r="B996" s="40" t="str">
        <f>IFERROR(INDEX(Mots!$B:$B,MATCH($A996,Mots!$A:$A,0)),"introuvable")</f>
        <v>la sauce</v>
      </c>
    </row>
    <row r="997" spans="1:2" hidden="1" x14ac:dyDescent="0.4">
      <c r="A997" s="38" t="s">
        <v>5065</v>
      </c>
      <c r="B997" s="40" t="str">
        <f>IFERROR(INDEX(Mots!$B:$B,MATCH($A997,Mots!$A:$A,0)),"introuvable")</f>
        <v>la sensation</v>
      </c>
    </row>
    <row r="998" spans="1:2" hidden="1" x14ac:dyDescent="0.4">
      <c r="A998" s="38" t="s">
        <v>5075</v>
      </c>
      <c r="B998" s="40" t="str">
        <f>IFERROR(INDEX(Mots!$B:$B,MATCH($A998,Mots!$A:$A,0)),"introuvable")</f>
        <v>la signature</v>
      </c>
    </row>
    <row r="999" spans="1:2" hidden="1" x14ac:dyDescent="0.4">
      <c r="A999" s="38" t="s">
        <v>5079</v>
      </c>
      <c r="B999" s="40" t="str">
        <f>IFERROR(INDEX(Mots!$B:$B,MATCH($A999,Mots!$A:$A,0)),"introuvable")</f>
        <v>la situation</v>
      </c>
    </row>
    <row r="1000" spans="1:2" hidden="1" x14ac:dyDescent="0.4">
      <c r="A1000" s="38" t="s">
        <v>5083</v>
      </c>
      <c r="B1000" s="40" t="str">
        <f>IFERROR(INDEX(Mots!$B:$B,MATCH($A1000,Mots!$A:$A,0)),"introuvable")</f>
        <v>la société</v>
      </c>
    </row>
    <row r="1001" spans="1:2" hidden="1" x14ac:dyDescent="0.4">
      <c r="A1001" s="38" t="s">
        <v>5087</v>
      </c>
      <c r="B1001" s="40" t="str">
        <f>IFERROR(INDEX(Mots!$B:$B,MATCH($A1001,Mots!$A:$A,0)),"introuvable")</f>
        <v>la somme</v>
      </c>
    </row>
    <row r="1002" spans="1:2" hidden="1" x14ac:dyDescent="0.4">
      <c r="A1002" s="38" t="s">
        <v>5091</v>
      </c>
      <c r="B1002" s="40" t="str">
        <f>IFERROR(INDEX(Mots!$B:$B,MATCH($A1002,Mots!$A:$A,0)),"introuvable")</f>
        <v>la sorte</v>
      </c>
    </row>
    <row r="1003" spans="1:2" hidden="1" x14ac:dyDescent="0.4">
      <c r="A1003" s="38" t="s">
        <v>5094</v>
      </c>
      <c r="B1003" s="40" t="str">
        <f>IFERROR(INDEX(Mots!$B:$B,MATCH($A1003,Mots!$A:$A,0)),"introuvable")</f>
        <v>la sortie</v>
      </c>
    </row>
    <row r="1004" spans="1:2" hidden="1" x14ac:dyDescent="0.4">
      <c r="A1004" s="38" t="s">
        <v>5101</v>
      </c>
      <c r="B1004" s="40" t="str">
        <f>IFERROR(INDEX(Mots!$B:$B,MATCH($A1004,Mots!$A:$A,0)),"introuvable")</f>
        <v>la source</v>
      </c>
    </row>
    <row r="1005" spans="1:2" hidden="1" x14ac:dyDescent="0.4">
      <c r="A1005" s="38" t="s">
        <v>5105</v>
      </c>
      <c r="B1005" s="40" t="str">
        <f>IFERROR(INDEX(Mots!$B:$B,MATCH($A1005,Mots!$A:$A,0)),"introuvable")</f>
        <v>la sucrerie</v>
      </c>
    </row>
    <row r="1006" spans="1:2" hidden="1" x14ac:dyDescent="0.4">
      <c r="A1006" s="38" t="s">
        <v>5108</v>
      </c>
      <c r="B1006" s="40" t="str">
        <f>IFERROR(INDEX(Mots!$B:$B,MATCH($A1006,Mots!$A:$A,0)),"introuvable")</f>
        <v>la surface</v>
      </c>
    </row>
    <row r="1007" spans="1:2" hidden="1" x14ac:dyDescent="0.4">
      <c r="A1007" s="38" t="s">
        <v>5112</v>
      </c>
      <c r="B1007" s="40" t="str">
        <f>IFERROR(INDEX(Mots!$B:$B,MATCH($A1007,Mots!$A:$A,0)),"introuvable")</f>
        <v>la tâche</v>
      </c>
    </row>
    <row r="1008" spans="1:2" hidden="1" x14ac:dyDescent="0.4">
      <c r="A1008" s="38" t="s">
        <v>5116</v>
      </c>
      <c r="B1008" s="40" t="str">
        <f>IFERROR(INDEX(Mots!$B:$B,MATCH($A1008,Mots!$A:$A,0)),"introuvable")</f>
        <v>la tempête</v>
      </c>
    </row>
    <row r="1009" spans="1:3" hidden="1" x14ac:dyDescent="0.4">
      <c r="A1009" s="38" t="s">
        <v>5124</v>
      </c>
      <c r="B1009" s="40" t="str">
        <f>IFERROR(INDEX(Mots!$B:$B,MATCH($A1009,Mots!$A:$A,0)),"introuvable")</f>
        <v>la tendresse</v>
      </c>
    </row>
    <row r="1010" spans="1:3" hidden="1" x14ac:dyDescent="0.4">
      <c r="A1010" s="38" t="s">
        <v>5132</v>
      </c>
      <c r="B1010" s="40" t="str">
        <f>IFERROR(INDEX(Mots!$B:$B,MATCH($A1010,Mots!$A:$A,0)),"introuvable")</f>
        <v>la tente</v>
      </c>
    </row>
    <row r="1011" spans="1:3" hidden="1" x14ac:dyDescent="0.4">
      <c r="A1011" s="38" t="s">
        <v>5140</v>
      </c>
      <c r="B1011" s="40" t="str">
        <f>IFERROR(INDEX(Mots!$B:$B,MATCH($A1011,Mots!$A:$A,0)),"introuvable")</f>
        <v>la timidité</v>
      </c>
    </row>
    <row r="1012" spans="1:3" hidden="1" x14ac:dyDescent="0.4">
      <c r="A1012" s="38" t="s">
        <v>5147</v>
      </c>
      <c r="B1012" s="40" t="str">
        <f>IFERROR(INDEX(Mots!$B:$B,MATCH($A1012,Mots!$A:$A,0)),"introuvable")</f>
        <v>la toux</v>
      </c>
    </row>
    <row r="1013" spans="1:3" hidden="1" x14ac:dyDescent="0.4">
      <c r="A1013" s="38" t="s">
        <v>5153</v>
      </c>
      <c r="B1013" s="40" t="str">
        <f>IFERROR(INDEX(Mots!$B:$B,MATCH($A1013,Mots!$A:$A,0)),"introuvable")</f>
        <v>la vague</v>
      </c>
    </row>
    <row r="1014" spans="1:3" hidden="1" x14ac:dyDescent="0.4">
      <c r="A1014" s="38" t="s">
        <v>5161</v>
      </c>
      <c r="B1014" s="40" t="str">
        <f>IFERROR(INDEX(Mots!$B:$B,MATCH($A1014,Mots!$A:$A,0)),"introuvable")</f>
        <v>la valise</v>
      </c>
      <c r="C1014" s="38" t="s">
        <v>10108</v>
      </c>
    </row>
    <row r="1015" spans="1:3" hidden="1" x14ac:dyDescent="0.4">
      <c r="A1015" s="38" t="s">
        <v>5169</v>
      </c>
      <c r="B1015" s="40" t="str">
        <f>IFERROR(INDEX(Mots!$B:$B,MATCH($A1015,Mots!$A:$A,0)),"introuvable")</f>
        <v>la vallée</v>
      </c>
    </row>
    <row r="1016" spans="1:3" hidden="1" x14ac:dyDescent="0.4">
      <c r="A1016" s="38" t="s">
        <v>5173</v>
      </c>
      <c r="B1016" s="40" t="str">
        <f>IFERROR(INDEX(Mots!$B:$B,MATCH($A1016,Mots!$A:$A,0)),"introuvable")</f>
        <v>la vente</v>
      </c>
    </row>
    <row r="1017" spans="1:3" hidden="1" x14ac:dyDescent="0.4">
      <c r="A1017" s="38" t="s">
        <v>5177</v>
      </c>
      <c r="B1017" s="40" t="str">
        <f>IFERROR(INDEX(Mots!$B:$B,MATCH($A1017,Mots!$A:$A,0)),"introuvable")</f>
        <v>la vérité</v>
      </c>
    </row>
    <row r="1018" spans="1:3" hidden="1" x14ac:dyDescent="0.4">
      <c r="A1018" s="38" t="s">
        <v>5182</v>
      </c>
      <c r="B1018" s="40" t="str">
        <f>IFERROR(INDEX(Mots!$B:$B,MATCH($A1018,Mots!$A:$A,0)),"introuvable")</f>
        <v>la victime</v>
      </c>
    </row>
    <row r="1019" spans="1:3" hidden="1" x14ac:dyDescent="0.4">
      <c r="A1019" s="38" t="s">
        <v>5186</v>
      </c>
      <c r="B1019" s="40" t="str">
        <f>IFERROR(INDEX(Mots!$B:$B,MATCH($A1019,Mots!$A:$A,0)),"introuvable")</f>
        <v>la vie</v>
      </c>
    </row>
    <row r="1020" spans="1:3" hidden="1" x14ac:dyDescent="0.4">
      <c r="A1020" s="38" t="s">
        <v>5190</v>
      </c>
      <c r="B1020" s="40" t="str">
        <f>IFERROR(INDEX(Mots!$B:$B,MATCH($A1020,Mots!$A:$A,0)),"introuvable")</f>
        <v>la vigne</v>
      </c>
    </row>
    <row r="1021" spans="1:3" hidden="1" x14ac:dyDescent="0.4">
      <c r="A1021" s="38" t="s">
        <v>5194</v>
      </c>
      <c r="B1021" s="40" t="str">
        <f>IFERROR(INDEX(Mots!$B:$B,MATCH($A1021,Mots!$A:$A,0)),"introuvable")</f>
        <v>la vis</v>
      </c>
      <c r="C1021" s="38" t="s">
        <v>10108</v>
      </c>
    </row>
    <row r="1022" spans="1:3" hidden="1" x14ac:dyDescent="0.4">
      <c r="A1022" s="38" t="s">
        <v>5201</v>
      </c>
      <c r="B1022" s="40" t="str">
        <f>IFERROR(INDEX(Mots!$B:$B,MATCH($A1022,Mots!$A:$A,0)),"introuvable")</f>
        <v>la visite</v>
      </c>
    </row>
    <row r="1023" spans="1:3" hidden="1" x14ac:dyDescent="0.4">
      <c r="A1023" s="38" t="s">
        <v>5204</v>
      </c>
      <c r="B1023" s="40" t="str">
        <f>IFERROR(INDEX(Mots!$B:$B,MATCH($A1023,Mots!$A:$A,0)),"introuvable")</f>
        <v>la zone</v>
      </c>
    </row>
    <row r="1024" spans="1:3" hidden="1" x14ac:dyDescent="0.4">
      <c r="A1024" s="38" t="s">
        <v>5208</v>
      </c>
      <c r="B1024" s="40" t="str">
        <f>IFERROR(INDEX(Mots!$B:$B,MATCH($A1024,Mots!$A:$A,0)),"introuvable")</f>
        <v>l'accident</v>
      </c>
    </row>
    <row r="1025" spans="1:3" hidden="1" x14ac:dyDescent="0.4">
      <c r="A1025" s="38" t="s">
        <v>5216</v>
      </c>
      <c r="B1025" s="40" t="str">
        <f>IFERROR(INDEX(Mots!$B:$B,MATCH($A1025,Mots!$A:$A,0)),"introuvable")</f>
        <v>l'accord</v>
      </c>
    </row>
    <row r="1026" spans="1:3" hidden="1" x14ac:dyDescent="0.4">
      <c r="A1026" s="38" t="s">
        <v>5224</v>
      </c>
      <c r="B1026" s="40" t="str">
        <f>IFERROR(INDEX(Mots!$B:$B,MATCH($A1026,Mots!$A:$A,0)),"introuvable")</f>
        <v>l'achat</v>
      </c>
    </row>
    <row r="1027" spans="1:3" hidden="1" x14ac:dyDescent="0.4">
      <c r="A1027" s="38" t="s">
        <v>5227</v>
      </c>
      <c r="B1027" s="40" t="str">
        <f>IFERROR(INDEX(Mots!$B:$B,MATCH($A1027,Mots!$A:$A,0)),"introuvable")</f>
        <v>les affaires</v>
      </c>
    </row>
    <row r="1028" spans="1:3" hidden="1" x14ac:dyDescent="0.4">
      <c r="A1028" s="38" t="s">
        <v>5232</v>
      </c>
      <c r="B1028" s="40" t="str">
        <f>IFERROR(INDEX(Mots!$B:$B,MATCH($A1028,Mots!$A:$A,0)),"introuvable")</f>
        <v>l'âge</v>
      </c>
    </row>
    <row r="1029" spans="1:3" hidden="1" x14ac:dyDescent="0.4">
      <c r="A1029" s="38" t="s">
        <v>5240</v>
      </c>
      <c r="B1029" s="40" t="str">
        <f>IFERROR(INDEX(Mots!$B:$B,MATCH($A1029,Mots!$A:$A,0)),"introuvable")</f>
        <v>l'agitation</v>
      </c>
    </row>
    <row r="1030" spans="1:3" hidden="1" x14ac:dyDescent="0.4">
      <c r="A1030" s="38" t="s">
        <v>5244</v>
      </c>
      <c r="B1030" s="40" t="str">
        <f>IFERROR(INDEX(Mots!$B:$B,MATCH($A1030,Mots!$A:$A,0)),"introuvable")</f>
        <v>l'aide</v>
      </c>
    </row>
    <row r="1031" spans="1:3" hidden="1" x14ac:dyDescent="0.4">
      <c r="A1031" s="38" t="s">
        <v>5251</v>
      </c>
      <c r="B1031" s="40" t="str">
        <f>IFERROR(INDEX(Mots!$B:$B,MATCH($A1031,Mots!$A:$A,0)),"introuvable")</f>
        <v>l'aiguille</v>
      </c>
    </row>
    <row r="1032" spans="1:3" hidden="1" x14ac:dyDescent="0.4">
      <c r="A1032" s="38" t="s">
        <v>5259</v>
      </c>
      <c r="B1032" s="40" t="str">
        <f>IFERROR(INDEX(Mots!$B:$B,MATCH($A1032,Mots!$A:$A,0)),"introuvable")</f>
        <v>l'air</v>
      </c>
    </row>
    <row r="1033" spans="1:3" hidden="1" x14ac:dyDescent="0.4">
      <c r="A1033" s="38" t="s">
        <v>5263</v>
      </c>
      <c r="B1033" s="40" t="str">
        <f>IFERROR(INDEX(Mots!$B:$B,MATCH($A1033,Mots!$A:$A,0)),"introuvable")</f>
        <v>l'allergie</v>
      </c>
    </row>
    <row r="1034" spans="1:3" hidden="1" x14ac:dyDescent="0.4">
      <c r="A1034" s="38" t="s">
        <v>9502</v>
      </c>
      <c r="B1034" s="40" t="str">
        <f>IFERROR(INDEX(Mots!$B:$B,MATCH($A1034,Mots!$A:$A,0)),"introuvable")</f>
        <v>l'amitié</v>
      </c>
    </row>
    <row r="1035" spans="1:3" hidden="1" x14ac:dyDescent="0.4">
      <c r="A1035" s="38" t="s">
        <v>5274</v>
      </c>
      <c r="B1035" s="40" t="str">
        <f>IFERROR(INDEX(Mots!$B:$B,MATCH($A1035,Mots!$A:$A,0)),"introuvable")</f>
        <v>lancer</v>
      </c>
    </row>
    <row r="1036" spans="1:3" hidden="1" x14ac:dyDescent="0.4">
      <c r="A1036" s="38" t="s">
        <v>5282</v>
      </c>
      <c r="B1036" s="40" t="str">
        <f>IFERROR(INDEX(Mots!$B:$B,MATCH($A1036,Mots!$A:$A,0)),"introuvable")</f>
        <v>l'anse</v>
      </c>
    </row>
    <row r="1037" spans="1:3" hidden="1" x14ac:dyDescent="0.4">
      <c r="A1037" s="38" t="s">
        <v>5288</v>
      </c>
      <c r="B1037" s="40" t="str">
        <f>IFERROR(INDEX(Mots!$B:$B,MATCH($A1037,Mots!$A:$A,0)),"introuvable")</f>
        <v>l'appareil</v>
      </c>
    </row>
    <row r="1038" spans="1:3" hidden="1" x14ac:dyDescent="0.4">
      <c r="A1038" s="38" t="s">
        <v>5292</v>
      </c>
      <c r="B1038" s="40" t="str">
        <f>IFERROR(INDEX(Mots!$B:$B,MATCH($A1038,Mots!$A:$A,0)),"introuvable")</f>
        <v>l'appartement</v>
      </c>
      <c r="C1038" s="38" t="s">
        <v>366</v>
      </c>
    </row>
    <row r="1039" spans="1:3" hidden="1" x14ac:dyDescent="0.4">
      <c r="A1039" s="38" t="s">
        <v>5300</v>
      </c>
      <c r="B1039" s="40" t="str">
        <f>IFERROR(INDEX(Mots!$B:$B,MATCH($A1039,Mots!$A:$A,0)),"introuvable")</f>
        <v>l'arc-en-ciel</v>
      </c>
    </row>
    <row r="1040" spans="1:3" hidden="1" x14ac:dyDescent="0.4">
      <c r="A1040" s="38" t="s">
        <v>5304</v>
      </c>
      <c r="B1040" s="40" t="str">
        <f>IFERROR(INDEX(Mots!$B:$B,MATCH($A1040,Mots!$A:$A,0)),"introuvable")</f>
        <v>l'attention</v>
      </c>
    </row>
    <row r="1041" spans="1:3" hidden="1" x14ac:dyDescent="0.4">
      <c r="A1041" s="38" t="s">
        <v>5308</v>
      </c>
      <c r="B1041" s="40" t="str">
        <f>IFERROR(INDEX(Mots!$B:$B,MATCH($A1041,Mots!$A:$A,0)),"introuvable")</f>
        <v>l'autoroute</v>
      </c>
      <c r="C1041" s="38" t="s">
        <v>10115</v>
      </c>
    </row>
    <row r="1042" spans="1:3" hidden="1" x14ac:dyDescent="0.4">
      <c r="A1042" s="38" t="s">
        <v>5316</v>
      </c>
      <c r="B1042" s="40" t="str">
        <f>IFERROR(INDEX(Mots!$B:$B,MATCH($A1042,Mots!$A:$A,0)),"introuvable")</f>
        <v>l'aventure</v>
      </c>
    </row>
    <row r="1043" spans="1:3" hidden="1" x14ac:dyDescent="0.4">
      <c r="A1043" s="38" t="s">
        <v>5326</v>
      </c>
      <c r="B1043" s="40" t="str">
        <f>IFERROR(INDEX(Mots!$B:$B,MATCH($A1043,Mots!$A:$A,0)),"introuvable")</f>
        <v>laver</v>
      </c>
    </row>
    <row r="1044" spans="1:3" hidden="1" x14ac:dyDescent="0.4">
      <c r="A1044" s="38" t="s">
        <v>5338</v>
      </c>
      <c r="B1044" s="40" t="str">
        <f>IFERROR(INDEX(Mots!$B:$B,MATCH($A1044,Mots!$A:$A,0)),"introuvable")</f>
        <v>l'avis</v>
      </c>
    </row>
    <row r="1045" spans="1:3" hidden="1" x14ac:dyDescent="0.4">
      <c r="A1045" s="38" t="s">
        <v>5348</v>
      </c>
      <c r="B1045" s="40" t="str">
        <f>IFERROR(INDEX(Mots!$B:$B,MATCH($A1045,Mots!$A:$A,0)),"introuvable")</f>
        <v>le bain</v>
      </c>
      <c r="C1045" s="38" t="s">
        <v>201</v>
      </c>
    </row>
    <row r="1046" spans="1:3" hidden="1" x14ac:dyDescent="0.4">
      <c r="A1046" s="38" t="s">
        <v>5356</v>
      </c>
      <c r="B1046" s="40" t="str">
        <f>IFERROR(INDEX(Mots!$B:$B,MATCH($A1046,Mots!$A:$A,0)),"introuvable")</f>
        <v>le balai</v>
      </c>
      <c r="C1046" s="38" t="s">
        <v>10108</v>
      </c>
    </row>
    <row r="1047" spans="1:3" hidden="1" x14ac:dyDescent="0.4">
      <c r="A1047" s="38" t="s">
        <v>5364</v>
      </c>
      <c r="B1047" s="40" t="str">
        <f>IFERROR(INDEX(Mots!$B:$B,MATCH($A1047,Mots!$A:$A,0)),"introuvable")</f>
        <v>le balcon</v>
      </c>
      <c r="C1047" s="38" t="s">
        <v>182</v>
      </c>
    </row>
    <row r="1048" spans="1:3" hidden="1" x14ac:dyDescent="0.4">
      <c r="A1048" s="38" t="s">
        <v>5372</v>
      </c>
      <c r="B1048" s="40" t="str">
        <f>IFERROR(INDEX(Mots!$B:$B,MATCH($A1048,Mots!$A:$A,0)),"introuvable")</f>
        <v>le ballon</v>
      </c>
    </row>
    <row r="1049" spans="1:3" hidden="1" x14ac:dyDescent="0.4">
      <c r="A1049" s="38" t="s">
        <v>5380</v>
      </c>
      <c r="B1049" s="40" t="str">
        <f>IFERROR(INDEX(Mots!$B:$B,MATCH($A1049,Mots!$A:$A,0)),"introuvable")</f>
        <v>le bandage</v>
      </c>
    </row>
    <row r="1050" spans="1:3" hidden="1" x14ac:dyDescent="0.4">
      <c r="A1050" s="38" t="s">
        <v>5388</v>
      </c>
      <c r="B1050" s="40" t="str">
        <f>IFERROR(INDEX(Mots!$B:$B,MATCH($A1050,Mots!$A:$A,0)),"introuvable")</f>
        <v>le bâtiment</v>
      </c>
    </row>
    <row r="1051" spans="1:3" hidden="1" x14ac:dyDescent="0.4">
      <c r="A1051" s="38" t="s">
        <v>5396</v>
      </c>
      <c r="B1051" s="40" t="str">
        <f>IFERROR(INDEX(Mots!$B:$B,MATCH($A1051,Mots!$A:$A,0)),"introuvable")</f>
        <v>le besoin</v>
      </c>
    </row>
    <row r="1052" spans="1:3" hidden="1" x14ac:dyDescent="0.4">
      <c r="A1052" s="38" t="s">
        <v>5401</v>
      </c>
      <c r="B1052" s="40" t="str">
        <f>IFERROR(INDEX(Mots!$B:$B,MATCH($A1052,Mots!$A:$A,0)),"introuvable")</f>
        <v>le beurre</v>
      </c>
      <c r="C1052" s="38" t="s">
        <v>222</v>
      </c>
    </row>
    <row r="1053" spans="1:3" hidden="1" x14ac:dyDescent="0.4">
      <c r="A1053" s="38" t="s">
        <v>5407</v>
      </c>
      <c r="B1053" s="40" t="str">
        <f>IFERROR(INDEX(Mots!$B:$B,MATCH($A1053,Mots!$A:$A,0)),"introuvable")</f>
        <v>le billet</v>
      </c>
    </row>
    <row r="1054" spans="1:3" hidden="1" x14ac:dyDescent="0.4">
      <c r="A1054" s="38" t="s">
        <v>5413</v>
      </c>
      <c r="B1054" s="40" t="str">
        <f>IFERROR(INDEX(Mots!$B:$B,MATCH($A1054,Mots!$A:$A,0)),"introuvable")</f>
        <v>le blé</v>
      </c>
    </row>
    <row r="1055" spans="1:3" hidden="1" x14ac:dyDescent="0.4">
      <c r="A1055" s="38" t="s">
        <v>5421</v>
      </c>
      <c r="B1055" s="40" t="str">
        <f>IFERROR(INDEX(Mots!$B:$B,MATCH($A1055,Mots!$A:$A,0)),"introuvable")</f>
        <v>le bocal</v>
      </c>
    </row>
    <row r="1056" spans="1:3" hidden="1" x14ac:dyDescent="0.4">
      <c r="A1056" s="38" t="s">
        <v>5429</v>
      </c>
      <c r="B1056" s="40" t="str">
        <f>IFERROR(INDEX(Mots!$B:$B,MATCH($A1056,Mots!$A:$A,0)),"introuvable")</f>
        <v>le bois</v>
      </c>
    </row>
    <row r="1057" spans="1:3" hidden="1" x14ac:dyDescent="0.4">
      <c r="A1057" s="38" t="s">
        <v>5437</v>
      </c>
      <c r="B1057" s="40" t="str">
        <f>IFERROR(INDEX(Mots!$B:$B,MATCH($A1057,Mots!$A:$A,0)),"introuvable")</f>
        <v>le bonbon</v>
      </c>
    </row>
    <row r="1058" spans="1:3" hidden="1" x14ac:dyDescent="0.4">
      <c r="A1058" s="38" t="s">
        <v>5445</v>
      </c>
      <c r="B1058" s="40" t="str">
        <f>IFERROR(INDEX(Mots!$B:$B,MATCH($A1058,Mots!$A:$A,0)),"introuvable")</f>
        <v>le bord</v>
      </c>
    </row>
    <row r="1059" spans="1:3" hidden="1" x14ac:dyDescent="0.4">
      <c r="A1059" s="38" t="s">
        <v>5450</v>
      </c>
      <c r="B1059" s="40" t="str">
        <f>IFERROR(INDEX(Mots!$B:$B,MATCH($A1059,Mots!$A:$A,0)),"introuvable")</f>
        <v>le bourgeon</v>
      </c>
      <c r="C1059" s="38" t="s">
        <v>348</v>
      </c>
    </row>
    <row r="1060" spans="1:3" hidden="1" x14ac:dyDescent="0.4">
      <c r="A1060" s="38" t="s">
        <v>5458</v>
      </c>
      <c r="B1060" s="40" t="str">
        <f>IFERROR(INDEX(Mots!$B:$B,MATCH($A1060,Mots!$A:$A,0)),"introuvable")</f>
        <v>le bout</v>
      </c>
    </row>
    <row r="1061" spans="1:3" hidden="1" x14ac:dyDescent="0.4">
      <c r="A1061" s="38" t="s">
        <v>5466</v>
      </c>
      <c r="B1061" s="40" t="str">
        <f>IFERROR(INDEX(Mots!$B:$B,MATCH($A1061,Mots!$A:$A,0)),"introuvable")</f>
        <v>le bricolage</v>
      </c>
    </row>
    <row r="1062" spans="1:3" hidden="1" x14ac:dyDescent="0.4">
      <c r="A1062" s="38" t="s">
        <v>5474</v>
      </c>
      <c r="B1062" s="40" t="str">
        <f>IFERROR(INDEX(Mots!$B:$B,MATCH($A1062,Mots!$A:$A,0)),"introuvable")</f>
        <v>le brin</v>
      </c>
      <c r="C1062" s="38" t="s">
        <v>348</v>
      </c>
    </row>
    <row r="1063" spans="1:3" hidden="1" x14ac:dyDescent="0.4">
      <c r="A1063" s="38" t="s">
        <v>5482</v>
      </c>
      <c r="B1063" s="40" t="str">
        <f>IFERROR(INDEX(Mots!$B:$B,MATCH($A1063,Mots!$A:$A,0)),"introuvable")</f>
        <v>le brouillard</v>
      </c>
    </row>
    <row r="1064" spans="1:3" hidden="1" x14ac:dyDescent="0.4">
      <c r="A1064" s="38" t="s">
        <v>5490</v>
      </c>
      <c r="B1064" s="40" t="str">
        <f>IFERROR(INDEX(Mots!$B:$B,MATCH($A1064,Mots!$A:$A,0)),"introuvable")</f>
        <v>le bruit</v>
      </c>
    </row>
    <row r="1065" spans="1:3" hidden="1" x14ac:dyDescent="0.4">
      <c r="A1065" s="38" t="s">
        <v>5496</v>
      </c>
      <c r="B1065" s="40" t="str">
        <f>IFERROR(INDEX(Mots!$B:$B,MATCH($A1065,Mots!$A:$A,0)),"introuvable")</f>
        <v>le buisson</v>
      </c>
      <c r="C1065" s="38" t="s">
        <v>348</v>
      </c>
    </row>
    <row r="1066" spans="1:3" hidden="1" x14ac:dyDescent="0.4">
      <c r="A1066" s="38" t="s">
        <v>5504</v>
      </c>
      <c r="B1066" s="40" t="str">
        <f>IFERROR(INDEX(Mots!$B:$B,MATCH($A1066,Mots!$A:$A,0)),"introuvable")</f>
        <v>le but</v>
      </c>
    </row>
    <row r="1067" spans="1:3" hidden="1" x14ac:dyDescent="0.4">
      <c r="A1067" s="38" t="s">
        <v>5512</v>
      </c>
      <c r="B1067" s="40" t="str">
        <f>IFERROR(INDEX(Mots!$B:$B,MATCH($A1067,Mots!$A:$A,0)),"introuvable")</f>
        <v>le cadeau</v>
      </c>
    </row>
    <row r="1068" spans="1:3" hidden="1" x14ac:dyDescent="0.4">
      <c r="A1068" s="38" t="s">
        <v>5520</v>
      </c>
      <c r="B1068" s="40" t="str">
        <f>IFERROR(INDEX(Mots!$B:$B,MATCH($A1068,Mots!$A:$A,0)),"introuvable")</f>
        <v>le cahier</v>
      </c>
    </row>
    <row r="1069" spans="1:3" hidden="1" x14ac:dyDescent="0.4">
      <c r="A1069" s="38" t="s">
        <v>5528</v>
      </c>
      <c r="B1069" s="40" t="str">
        <f>IFERROR(INDEX(Mots!$B:$B,MATCH($A1069,Mots!$A:$A,0)),"introuvable")</f>
        <v>le calcul</v>
      </c>
    </row>
    <row r="1070" spans="1:3" hidden="1" x14ac:dyDescent="0.4">
      <c r="A1070" s="38" t="s">
        <v>5532</v>
      </c>
      <c r="B1070" s="40" t="str">
        <f>IFERROR(INDEX(Mots!$B:$B,MATCH($A1070,Mots!$A:$A,0)),"introuvable")</f>
        <v>le calme</v>
      </c>
    </row>
    <row r="1071" spans="1:3" hidden="1" x14ac:dyDescent="0.4">
      <c r="A1071" s="38" t="s">
        <v>5536</v>
      </c>
      <c r="B1071" s="40" t="str">
        <f>IFERROR(INDEX(Mots!$B:$B,MATCH($A1071,Mots!$A:$A,0)),"introuvable")</f>
        <v>le camping</v>
      </c>
    </row>
    <row r="1072" spans="1:3" hidden="1" x14ac:dyDescent="0.4">
      <c r="A1072" s="38" t="s">
        <v>5544</v>
      </c>
      <c r="B1072" s="40" t="str">
        <f>IFERROR(INDEX(Mots!$B:$B,MATCH($A1072,Mots!$A:$A,0)),"introuvable")</f>
        <v>le caoutchouc</v>
      </c>
    </row>
    <row r="1073" spans="1:3" hidden="1" x14ac:dyDescent="0.4">
      <c r="A1073" s="38" t="s">
        <v>5549</v>
      </c>
      <c r="B1073" s="40" t="str">
        <f>IFERROR(INDEX(Mots!$B:$B,MATCH($A1073,Mots!$A:$A,0)),"introuvable")</f>
        <v>le carnet</v>
      </c>
    </row>
    <row r="1074" spans="1:3" hidden="1" x14ac:dyDescent="0.4">
      <c r="A1074" s="38" t="s">
        <v>5557</v>
      </c>
      <c r="B1074" s="40" t="str">
        <f>IFERROR(INDEX(Mots!$B:$B,MATCH($A1074,Mots!$A:$A,0)),"introuvable")</f>
        <v>le cas</v>
      </c>
    </row>
    <row r="1075" spans="1:3" hidden="1" x14ac:dyDescent="0.4">
      <c r="A1075" s="38" t="s">
        <v>5562</v>
      </c>
      <c r="B1075" s="40" t="str">
        <f>IFERROR(INDEX(Mots!$B:$B,MATCH($A1075,Mots!$A:$A,0)),"introuvable")</f>
        <v>le centre</v>
      </c>
    </row>
    <row r="1076" spans="1:3" hidden="1" x14ac:dyDescent="0.4">
      <c r="A1076" s="38" t="s">
        <v>5566</v>
      </c>
      <c r="B1076" s="40" t="str">
        <f>IFERROR(INDEX(Mots!$B:$B,MATCH($A1076,Mots!$A:$A,0)),"introuvable")</f>
        <v>le chagrin</v>
      </c>
    </row>
    <row r="1077" spans="1:3" hidden="1" x14ac:dyDescent="0.4">
      <c r="A1077" s="38" t="s">
        <v>5575</v>
      </c>
      <c r="B1077" s="40" t="str">
        <f>IFERROR(INDEX(Mots!$B:$B,MATCH($A1077,Mots!$A:$A,0)),"introuvable")</f>
        <v>le champ</v>
      </c>
    </row>
    <row r="1078" spans="1:3" hidden="1" x14ac:dyDescent="0.4">
      <c r="A1078" s="38" t="s">
        <v>5583</v>
      </c>
      <c r="B1078" s="40" t="str">
        <f>IFERROR(INDEX(Mots!$B:$B,MATCH($A1078,Mots!$A:$A,0)),"introuvable")</f>
        <v>le champignon</v>
      </c>
    </row>
    <row r="1079" spans="1:3" hidden="1" x14ac:dyDescent="0.4">
      <c r="A1079" s="38" t="s">
        <v>5591</v>
      </c>
      <c r="B1079" s="40" t="str">
        <f>IFERROR(INDEX(Mots!$B:$B,MATCH($A1079,Mots!$A:$A,0)),"introuvable")</f>
        <v>le champion</v>
      </c>
    </row>
    <row r="1080" spans="1:3" hidden="1" x14ac:dyDescent="0.4">
      <c r="A1080" s="38" t="s">
        <v>5603</v>
      </c>
      <c r="B1080" s="40" t="str">
        <f>IFERROR(INDEX(Mots!$B:$B,MATCH($A1080,Mots!$A:$A,0)),"introuvable")</f>
        <v>le chemin</v>
      </c>
    </row>
    <row r="1081" spans="1:3" hidden="1" x14ac:dyDescent="0.4">
      <c r="A1081" s="38" t="s">
        <v>5608</v>
      </c>
      <c r="B1081" s="40" t="str">
        <f>IFERROR(INDEX(Mots!$B:$B,MATCH($A1081,Mots!$A:$A,0)),"introuvable")</f>
        <v>le choc</v>
      </c>
    </row>
    <row r="1082" spans="1:3" hidden="1" x14ac:dyDescent="0.4">
      <c r="A1082" s="38" t="s">
        <v>5615</v>
      </c>
      <c r="B1082" s="40" t="str">
        <f>IFERROR(INDEX(Mots!$B:$B,MATCH($A1082,Mots!$A:$A,0)),"introuvable")</f>
        <v>le chocolat</v>
      </c>
      <c r="C1082" s="38" t="s">
        <v>222</v>
      </c>
    </row>
    <row r="1083" spans="1:3" hidden="1" x14ac:dyDescent="0.4">
      <c r="A1083" s="38" t="s">
        <v>5623</v>
      </c>
      <c r="B1083" s="40" t="str">
        <f>IFERROR(INDEX(Mots!$B:$B,MATCH($A1083,Mots!$A:$A,0)),"introuvable")</f>
        <v>le cintre</v>
      </c>
      <c r="C1083" s="38" t="s">
        <v>196</v>
      </c>
    </row>
    <row r="1084" spans="1:3" hidden="1" x14ac:dyDescent="0.4">
      <c r="A1084" s="38" t="s">
        <v>5631</v>
      </c>
      <c r="B1084" s="40" t="str">
        <f>IFERROR(INDEX(Mots!$B:$B,MATCH($A1084,Mots!$A:$A,0)),"introuvable")</f>
        <v>le citron</v>
      </c>
      <c r="C1084" s="38" t="s">
        <v>226</v>
      </c>
    </row>
    <row r="1085" spans="1:3" hidden="1" x14ac:dyDescent="0.4">
      <c r="A1085" s="38" t="s">
        <v>5639</v>
      </c>
      <c r="B1085" s="40" t="str">
        <f>IFERROR(INDEX(Mots!$B:$B,MATCH($A1085,Mots!$A:$A,0)),"introuvable")</f>
        <v>le clou</v>
      </c>
    </row>
    <row r="1086" spans="1:3" hidden="1" x14ac:dyDescent="0.4">
      <c r="A1086" s="38" t="s">
        <v>5643</v>
      </c>
      <c r="B1086" s="40" t="str">
        <f>IFERROR(INDEX(Mots!$B:$B,MATCH($A1086,Mots!$A:$A,0)),"introuvable")</f>
        <v>le combat</v>
      </c>
    </row>
    <row r="1087" spans="1:3" hidden="1" x14ac:dyDescent="0.4">
      <c r="A1087" s="38" t="s">
        <v>5646</v>
      </c>
      <c r="B1087" s="40" t="str">
        <f>IFERROR(INDEX(Mots!$B:$B,MATCH($A1087,Mots!$A:$A,0)),"introuvable")</f>
        <v>le commerce</v>
      </c>
    </row>
    <row r="1088" spans="1:3" hidden="1" x14ac:dyDescent="0.4">
      <c r="A1088" s="38" t="s">
        <v>5650</v>
      </c>
      <c r="B1088" s="40" t="str">
        <f>IFERROR(INDEX(Mots!$B:$B,MATCH($A1088,Mots!$A:$A,0)),"introuvable")</f>
        <v>le complice</v>
      </c>
    </row>
    <row r="1089" spans="1:4" hidden="1" x14ac:dyDescent="0.4">
      <c r="A1089" s="38" t="s">
        <v>5655</v>
      </c>
      <c r="B1089" s="40" t="str">
        <f>IFERROR(INDEX(Mots!$B:$B,MATCH($A1089,Mots!$A:$A,0)),"introuvable")</f>
        <v>le comprimé</v>
      </c>
      <c r="C1089" s="38" t="s">
        <v>201</v>
      </c>
      <c r="D1089" s="38" t="s">
        <v>186</v>
      </c>
    </row>
    <row r="1090" spans="1:4" hidden="1" x14ac:dyDescent="0.4">
      <c r="A1090" s="38" t="s">
        <v>5663</v>
      </c>
      <c r="B1090" s="40" t="str">
        <f>IFERROR(INDEX(Mots!$B:$B,MATCH($A1090,Mots!$A:$A,0)),"introuvable")</f>
        <v>le concours</v>
      </c>
    </row>
    <row r="1091" spans="1:4" hidden="1" x14ac:dyDescent="0.4">
      <c r="A1091" s="38" t="s">
        <v>5667</v>
      </c>
      <c r="B1091" s="40" t="str">
        <f>IFERROR(INDEX(Mots!$B:$B,MATCH($A1091,Mots!$A:$A,0)),"introuvable")</f>
        <v>le cône</v>
      </c>
    </row>
    <row r="1092" spans="1:4" hidden="1" x14ac:dyDescent="0.4">
      <c r="A1092" s="38" t="s">
        <v>5675</v>
      </c>
      <c r="B1092" s="40" t="str">
        <f>IFERROR(INDEX(Mots!$B:$B,MATCH($A1092,Mots!$A:$A,0)),"introuvable")</f>
        <v>le copain</v>
      </c>
    </row>
    <row r="1093" spans="1:4" hidden="1" x14ac:dyDescent="0.4">
      <c r="A1093" s="38" t="s">
        <v>5679</v>
      </c>
      <c r="B1093" s="40" t="str">
        <f>IFERROR(INDEX(Mots!$B:$B,MATCH($A1093,Mots!$A:$A,0)),"introuvable")</f>
        <v>le côté</v>
      </c>
    </row>
    <row r="1094" spans="1:4" hidden="1" x14ac:dyDescent="0.4">
      <c r="A1094" s="38" t="s">
        <v>5685</v>
      </c>
      <c r="B1094" s="40" t="str">
        <f>IFERROR(INDEX(Mots!$B:$B,MATCH($A1094,Mots!$A:$A,0)),"introuvable")</f>
        <v>le coup</v>
      </c>
    </row>
    <row r="1095" spans="1:4" hidden="1" x14ac:dyDescent="0.4">
      <c r="A1095" s="38" t="s">
        <v>5693</v>
      </c>
      <c r="B1095" s="40" t="str">
        <f>IFERROR(INDEX(Mots!$B:$B,MATCH($A1095,Mots!$A:$A,0)),"introuvable")</f>
        <v>le courrier</v>
      </c>
    </row>
    <row r="1096" spans="1:4" hidden="1" x14ac:dyDescent="0.4">
      <c r="A1096" s="38" t="s">
        <v>5698</v>
      </c>
      <c r="B1096" s="40" t="str">
        <f>IFERROR(INDEX(Mots!$B:$B,MATCH($A1096,Mots!$A:$A,0)),"introuvable")</f>
        <v>le cousin</v>
      </c>
    </row>
    <row r="1097" spans="1:4" hidden="1" x14ac:dyDescent="0.4">
      <c r="A1097" s="38" t="s">
        <v>5701</v>
      </c>
      <c r="B1097" s="40" t="str">
        <f>IFERROR(INDEX(Mots!$B:$B,MATCH($A1097,Mots!$A:$A,0)),"introuvable")</f>
        <v>le coussin</v>
      </c>
      <c r="C1097" s="38" t="s">
        <v>191</v>
      </c>
    </row>
    <row r="1098" spans="1:4" hidden="1" x14ac:dyDescent="0.4">
      <c r="A1098" s="38" t="s">
        <v>5705</v>
      </c>
      <c r="B1098" s="40" t="str">
        <f>IFERROR(INDEX(Mots!$B:$B,MATCH($A1098,Mots!$A:$A,0)),"introuvable")</f>
        <v>le couvercle</v>
      </c>
      <c r="C1098" s="38" t="s">
        <v>186</v>
      </c>
    </row>
    <row r="1099" spans="1:4" hidden="1" x14ac:dyDescent="0.4">
      <c r="A1099" s="38" t="s">
        <v>5713</v>
      </c>
      <c r="B1099" s="40" t="str">
        <f>IFERROR(INDEX(Mots!$B:$B,MATCH($A1099,Mots!$A:$A,0)),"introuvable")</f>
        <v>le crayon</v>
      </c>
      <c r="C1099" s="38" t="s">
        <v>147</v>
      </c>
      <c r="D1099" s="38" t="s">
        <v>186</v>
      </c>
    </row>
    <row r="1100" spans="1:4" hidden="1" x14ac:dyDescent="0.4">
      <c r="A1100" s="38" t="s">
        <v>5719</v>
      </c>
      <c r="B1100" s="40" t="str">
        <f>IFERROR(INDEX(Mots!$B:$B,MATCH($A1100,Mots!$A:$A,0)),"introuvable")</f>
        <v>le cube</v>
      </c>
    </row>
    <row r="1101" spans="1:4" hidden="1" x14ac:dyDescent="0.4">
      <c r="A1101" s="38" t="s">
        <v>5726</v>
      </c>
      <c r="B1101" s="40" t="str">
        <f>IFERROR(INDEX(Mots!$B:$B,MATCH($A1101,Mots!$A:$A,0)),"introuvable")</f>
        <v>le danger</v>
      </c>
    </row>
    <row r="1102" spans="1:4" hidden="1" x14ac:dyDescent="0.4">
      <c r="A1102" s="38" t="s">
        <v>5729</v>
      </c>
      <c r="B1102" s="40" t="str">
        <f>IFERROR(INDEX(Mots!$B:$B,MATCH($A1102,Mots!$A:$A,0)),"introuvable")</f>
        <v>le dé</v>
      </c>
    </row>
    <row r="1103" spans="1:4" hidden="1" x14ac:dyDescent="0.4">
      <c r="A1103" s="38" t="s">
        <v>5737</v>
      </c>
      <c r="B1103" s="40" t="str">
        <f>IFERROR(INDEX(Mots!$B:$B,MATCH($A1103,Mots!$A:$A,0)),"introuvable")</f>
        <v>le déchet</v>
      </c>
    </row>
    <row r="1104" spans="1:4" hidden="1" x14ac:dyDescent="0.4">
      <c r="A1104" s="38" t="s">
        <v>5745</v>
      </c>
      <c r="B1104" s="40" t="str">
        <f>IFERROR(INDEX(Mots!$B:$B,MATCH($A1104,Mots!$A:$A,0)),"introuvable")</f>
        <v>le dégât</v>
      </c>
    </row>
    <row r="1105" spans="1:2" hidden="1" x14ac:dyDescent="0.4">
      <c r="A1105" s="38" t="s">
        <v>5753</v>
      </c>
      <c r="B1105" s="40" t="str">
        <f>IFERROR(INDEX(Mots!$B:$B,MATCH($A1105,Mots!$A:$A,0)),"introuvable")</f>
        <v>le degré</v>
      </c>
    </row>
    <row r="1106" spans="1:2" hidden="1" x14ac:dyDescent="0.4">
      <c r="A1106" s="38" t="s">
        <v>5761</v>
      </c>
      <c r="B1106" s="40" t="str">
        <f>IFERROR(INDEX(Mots!$B:$B,MATCH($A1106,Mots!$A:$A,0)),"introuvable")</f>
        <v>le déjeuner</v>
      </c>
    </row>
    <row r="1107" spans="1:2" hidden="1" x14ac:dyDescent="0.4">
      <c r="A1107" s="38" t="s">
        <v>5768</v>
      </c>
      <c r="B1107" s="40" t="str">
        <f>IFERROR(INDEX(Mots!$B:$B,MATCH($A1107,Mots!$A:$A,0)),"introuvable")</f>
        <v>le désir</v>
      </c>
    </row>
    <row r="1108" spans="1:2" hidden="1" x14ac:dyDescent="0.4">
      <c r="A1108" s="38" t="s">
        <v>5772</v>
      </c>
      <c r="B1108" s="40" t="str">
        <f>IFERROR(INDEX(Mots!$B:$B,MATCH($A1108,Mots!$A:$A,0)),"introuvable")</f>
        <v>le dessert</v>
      </c>
    </row>
    <row r="1109" spans="1:2" hidden="1" x14ac:dyDescent="0.4">
      <c r="A1109" s="38" t="s">
        <v>5779</v>
      </c>
      <c r="B1109" s="40" t="str">
        <f>IFERROR(INDEX(Mots!$B:$B,MATCH($A1109,Mots!$A:$A,0)),"introuvable")</f>
        <v>le devoir</v>
      </c>
    </row>
    <row r="1110" spans="1:2" hidden="1" x14ac:dyDescent="0.4">
      <c r="A1110" s="38" t="s">
        <v>5783</v>
      </c>
      <c r="B1110" s="40" t="str">
        <f>IFERROR(INDEX(Mots!$B:$B,MATCH($A1110,Mots!$A:$A,0)),"introuvable")</f>
        <v>le dîner</v>
      </c>
    </row>
    <row r="1111" spans="1:2" hidden="1" x14ac:dyDescent="0.4">
      <c r="A1111" s="38" t="s">
        <v>5787</v>
      </c>
      <c r="B1111" s="40" t="str">
        <f>IFERROR(INDEX(Mots!$B:$B,MATCH($A1111,Mots!$A:$A,0)),"introuvable")</f>
        <v>le disque</v>
      </c>
    </row>
    <row r="1112" spans="1:2" hidden="1" x14ac:dyDescent="0.4">
      <c r="A1112" s="38" t="s">
        <v>5791</v>
      </c>
      <c r="B1112" s="40" t="str">
        <f>IFERROR(INDEX(Mots!$B:$B,MATCH($A1112,Mots!$A:$A,0)),"introuvable")</f>
        <v>le document</v>
      </c>
    </row>
    <row r="1113" spans="1:2" hidden="1" x14ac:dyDescent="0.4">
      <c r="A1113" s="38" t="s">
        <v>5795</v>
      </c>
      <c r="B1113" s="40" t="str">
        <f>IFERROR(INDEX(Mots!$B:$B,MATCH($A1113,Mots!$A:$A,0)),"introuvable")</f>
        <v>le dommage</v>
      </c>
    </row>
    <row r="1114" spans="1:2" hidden="1" x14ac:dyDescent="0.4">
      <c r="A1114" s="38" t="s">
        <v>5799</v>
      </c>
      <c r="B1114" s="40" t="str">
        <f>IFERROR(INDEX(Mots!$B:$B,MATCH($A1114,Mots!$A:$A,0)),"introuvable")</f>
        <v>le fer</v>
      </c>
    </row>
    <row r="1115" spans="1:2" hidden="1" x14ac:dyDescent="0.4">
      <c r="A1115" s="38" t="s">
        <v>5807</v>
      </c>
      <c r="B1115" s="40" t="str">
        <f>IFERROR(INDEX(Mots!$B:$B,MATCH($A1115,Mots!$A:$A,0)),"introuvable")</f>
        <v>le fil</v>
      </c>
    </row>
    <row r="1116" spans="1:2" hidden="1" x14ac:dyDescent="0.4">
      <c r="A1116" s="38" t="s">
        <v>5811</v>
      </c>
      <c r="B1116" s="40" t="str">
        <f>IFERROR(INDEX(Mots!$B:$B,MATCH($A1116,Mots!$A:$A,0)),"introuvable")</f>
        <v>le film</v>
      </c>
    </row>
    <row r="1117" spans="1:2" hidden="1" x14ac:dyDescent="0.4">
      <c r="A1117" s="38" t="s">
        <v>5815</v>
      </c>
      <c r="B1117" s="40" t="str">
        <f>IFERROR(INDEX(Mots!$B:$B,MATCH($A1117,Mots!$A:$A,0)),"introuvable")</f>
        <v>le fond</v>
      </c>
    </row>
    <row r="1118" spans="1:2" hidden="1" x14ac:dyDescent="0.4">
      <c r="A1118" s="38" t="s">
        <v>5819</v>
      </c>
      <c r="B1118" s="40" t="str">
        <f>IFERROR(INDEX(Mots!$B:$B,MATCH($A1118,Mots!$A:$A,0)),"introuvable")</f>
        <v>le frein</v>
      </c>
    </row>
    <row r="1119" spans="1:2" hidden="1" x14ac:dyDescent="0.4">
      <c r="A1119" s="38" t="s">
        <v>5829</v>
      </c>
      <c r="B1119" s="40" t="str">
        <f>IFERROR(INDEX(Mots!$B:$B,MATCH($A1119,Mots!$A:$A,0)),"introuvable")</f>
        <v>le garçon</v>
      </c>
    </row>
    <row r="1120" spans="1:2" hidden="1" x14ac:dyDescent="0.4">
      <c r="A1120" s="38" t="s">
        <v>5833</v>
      </c>
      <c r="B1120" s="40" t="str">
        <f>IFERROR(INDEX(Mots!$B:$B,MATCH($A1120,Mots!$A:$A,0)),"introuvable")</f>
        <v>le gel</v>
      </c>
    </row>
    <row r="1121" spans="1:2" hidden="1" x14ac:dyDescent="0.4">
      <c r="A1121" s="38" t="s">
        <v>5837</v>
      </c>
      <c r="B1121" s="40" t="str">
        <f>IFERROR(INDEX(Mots!$B:$B,MATCH($A1121,Mots!$A:$A,0)),"introuvable")</f>
        <v>le geste</v>
      </c>
    </row>
    <row r="1122" spans="1:2" hidden="1" x14ac:dyDescent="0.4">
      <c r="A1122" s="38" t="s">
        <v>5843</v>
      </c>
      <c r="B1122" s="40" t="str">
        <f>IFERROR(INDEX(Mots!$B:$B,MATCH($A1122,Mots!$A:$A,0)),"introuvable")</f>
        <v>le goût</v>
      </c>
    </row>
    <row r="1123" spans="1:2" hidden="1" x14ac:dyDescent="0.4">
      <c r="A1123" s="38" t="s">
        <v>5847</v>
      </c>
      <c r="B1123" s="40" t="str">
        <f>IFERROR(INDEX(Mots!$B:$B,MATCH($A1123,Mots!$A:$A,0)),"introuvable")</f>
        <v>le grain</v>
      </c>
    </row>
    <row r="1124" spans="1:2" hidden="1" x14ac:dyDescent="0.4">
      <c r="A1124" s="38" t="s">
        <v>5855</v>
      </c>
      <c r="B1124" s="40" t="str">
        <f>IFERROR(INDEX(Mots!$B:$B,MATCH($A1124,Mots!$A:$A,0)),"introuvable")</f>
        <v>le groupe</v>
      </c>
    </row>
    <row r="1125" spans="1:2" hidden="1" x14ac:dyDescent="0.4">
      <c r="A1125" s="38" t="s">
        <v>5859</v>
      </c>
      <c r="B1125" s="40" t="str">
        <f>IFERROR(INDEX(Mots!$B:$B,MATCH($A1125,Mots!$A:$A,0)),"introuvable")</f>
        <v>le hasard</v>
      </c>
    </row>
    <row r="1126" spans="1:2" hidden="1" x14ac:dyDescent="0.4">
      <c r="A1126" s="38" t="s">
        <v>5863</v>
      </c>
      <c r="B1126" s="40" t="str">
        <f>IFERROR(INDEX(Mots!$B:$B,MATCH($A1126,Mots!$A:$A,0)),"introuvable")</f>
        <v>le hobby</v>
      </c>
    </row>
    <row r="1127" spans="1:2" hidden="1" x14ac:dyDescent="0.4">
      <c r="A1127" s="38" t="s">
        <v>5870</v>
      </c>
      <c r="B1127" s="40" t="str">
        <f>IFERROR(INDEX(Mots!$B:$B,MATCH($A1127,Mots!$A:$A,0)),"introuvable")</f>
        <v>le jardinage</v>
      </c>
    </row>
    <row r="1128" spans="1:2" hidden="1" x14ac:dyDescent="0.4">
      <c r="A1128" s="38" t="s">
        <v>5876</v>
      </c>
      <c r="B1128" s="40" t="str">
        <f>IFERROR(INDEX(Mots!$B:$B,MATCH($A1128,Mots!$A:$A,0)),"introuvable")</f>
        <v>le jeu</v>
      </c>
    </row>
    <row r="1129" spans="1:2" hidden="1" x14ac:dyDescent="0.4">
      <c r="A1129" s="38" t="s">
        <v>5881</v>
      </c>
      <c r="B1129" s="40" t="str">
        <f>IFERROR(INDEX(Mots!$B:$B,MATCH($A1129,Mots!$A:$A,0)),"introuvable")</f>
        <v>le jouet</v>
      </c>
    </row>
    <row r="1130" spans="1:2" hidden="1" x14ac:dyDescent="0.4">
      <c r="A1130" s="38" t="s">
        <v>5885</v>
      </c>
      <c r="B1130" s="40" t="str">
        <f>IFERROR(INDEX(Mots!$B:$B,MATCH($A1130,Mots!$A:$A,0)),"introuvable")</f>
        <v>le jus</v>
      </c>
    </row>
    <row r="1131" spans="1:2" hidden="1" x14ac:dyDescent="0.4">
      <c r="A1131" s="38" t="s">
        <v>5893</v>
      </c>
      <c r="B1131" s="40" t="str">
        <f>IFERROR(INDEX(Mots!$B:$B,MATCH($A1131,Mots!$A:$A,0)),"introuvable")</f>
        <v>le lac</v>
      </c>
    </row>
    <row r="1132" spans="1:2" hidden="1" x14ac:dyDescent="0.4">
      <c r="A1132" s="38" t="s">
        <v>5902</v>
      </c>
      <c r="B1132" s="40" t="str">
        <f>IFERROR(INDEX(Mots!$B:$B,MATCH($A1132,Mots!$A:$A,0)),"introuvable")</f>
        <v>le lien</v>
      </c>
    </row>
    <row r="1133" spans="1:2" hidden="1" x14ac:dyDescent="0.4">
      <c r="A1133" s="38" t="s">
        <v>5905</v>
      </c>
      <c r="B1133" s="40" t="str">
        <f>IFERROR(INDEX(Mots!$B:$B,MATCH($A1133,Mots!$A:$A,0)),"introuvable")</f>
        <v>le liquide</v>
      </c>
    </row>
    <row r="1134" spans="1:2" hidden="1" x14ac:dyDescent="0.4">
      <c r="A1134" s="38" t="s">
        <v>5912</v>
      </c>
      <c r="B1134" s="40" t="str">
        <f>IFERROR(INDEX(Mots!$B:$B,MATCH($A1134,Mots!$A:$A,0)),"introuvable")</f>
        <v>le livre</v>
      </c>
    </row>
    <row r="1135" spans="1:2" hidden="1" x14ac:dyDescent="0.4">
      <c r="A1135" s="38" t="s">
        <v>5920</v>
      </c>
      <c r="B1135" s="40" t="str">
        <f>IFERROR(INDEX(Mots!$B:$B,MATCH($A1135,Mots!$A:$A,0)),"introuvable")</f>
        <v>le logement</v>
      </c>
    </row>
    <row r="1136" spans="1:2" hidden="1" x14ac:dyDescent="0.4">
      <c r="A1136" s="38" t="s">
        <v>5923</v>
      </c>
      <c r="B1136" s="40" t="str">
        <f>IFERROR(INDEX(Mots!$B:$B,MATCH($A1136,Mots!$A:$A,0)),"introuvable")</f>
        <v>le maître</v>
      </c>
    </row>
    <row r="1137" spans="1:3" hidden="1" x14ac:dyDescent="0.4">
      <c r="A1137" s="38" t="s">
        <v>5943</v>
      </c>
      <c r="B1137" s="40" t="str">
        <f>IFERROR(INDEX(Mots!$B:$B,MATCH($A1137,Mots!$A:$A,0)),"introuvable")</f>
        <v>le match</v>
      </c>
    </row>
    <row r="1138" spans="1:3" hidden="1" x14ac:dyDescent="0.4">
      <c r="A1138" s="38" t="s">
        <v>5959</v>
      </c>
      <c r="B1138" s="40" t="str">
        <f>IFERROR(INDEX(Mots!$B:$B,MATCH($A1138,Mots!$A:$A,0)),"introuvable")</f>
        <v>le mélange</v>
      </c>
    </row>
    <row r="1139" spans="1:3" hidden="1" x14ac:dyDescent="0.4">
      <c r="A1139" s="38" t="s">
        <v>5963</v>
      </c>
      <c r="B1139" s="40" t="str">
        <f>IFERROR(INDEX(Mots!$B:$B,MATCH($A1139,Mots!$A:$A,0)),"introuvable")</f>
        <v>le mensonge</v>
      </c>
    </row>
    <row r="1140" spans="1:3" hidden="1" x14ac:dyDescent="0.4">
      <c r="A1140" s="38" t="s">
        <v>5970</v>
      </c>
      <c r="B1140" s="40" t="str">
        <f>IFERROR(INDEX(Mots!$B:$B,MATCH($A1140,Mots!$A:$A,0)),"introuvable")</f>
        <v>le métal</v>
      </c>
    </row>
    <row r="1141" spans="1:3" hidden="1" x14ac:dyDescent="0.4">
      <c r="A1141" s="38" t="s">
        <v>5978</v>
      </c>
      <c r="B1141" s="40" t="str">
        <f>IFERROR(INDEX(Mots!$B:$B,MATCH($A1141,Mots!$A:$A,0)),"introuvable")</f>
        <v>le milieu</v>
      </c>
    </row>
    <row r="1142" spans="1:3" hidden="1" x14ac:dyDescent="0.4">
      <c r="A1142" s="38" t="s">
        <v>5983</v>
      </c>
      <c r="B1142" s="40" t="str">
        <f>IFERROR(INDEX(Mots!$B:$B,MATCH($A1142,Mots!$A:$A,0)),"introuvable")</f>
        <v>le moment</v>
      </c>
    </row>
    <row r="1143" spans="1:3" hidden="1" x14ac:dyDescent="0.4">
      <c r="A1143" s="38" t="s">
        <v>5987</v>
      </c>
      <c r="B1143" s="40" t="str">
        <f>IFERROR(INDEX(Mots!$B:$B,MATCH($A1143,Mots!$A:$A,0)),"introuvable")</f>
        <v>le monde</v>
      </c>
    </row>
    <row r="1144" spans="1:3" hidden="1" x14ac:dyDescent="0.4">
      <c r="A1144" s="38" t="s">
        <v>5990</v>
      </c>
      <c r="B1144" s="40" t="str">
        <f>IFERROR(INDEX(Mots!$B:$B,MATCH($A1144,Mots!$A:$A,0)),"introuvable")</f>
        <v>le morceau</v>
      </c>
    </row>
    <row r="1145" spans="1:3" x14ac:dyDescent="0.4">
      <c r="A1145" s="38" t="s">
        <v>5996</v>
      </c>
      <c r="B1145" s="40" t="str">
        <f>IFERROR(INDEX(Mots!$B:$B,MATCH($A1145,Mots!$A:$A,0)),"introuvable")</f>
        <v>le moteur</v>
      </c>
      <c r="C1145" s="38" t="s">
        <v>255</v>
      </c>
    </row>
    <row r="1146" spans="1:3" hidden="1" x14ac:dyDescent="0.4">
      <c r="A1146" s="38" t="s">
        <v>6004</v>
      </c>
      <c r="B1146" s="40" t="str">
        <f>IFERROR(INDEX(Mots!$B:$B,MATCH($A1146,Mots!$A:$A,0)),"introuvable")</f>
        <v>le mouvement</v>
      </c>
    </row>
    <row r="1147" spans="1:3" hidden="1" x14ac:dyDescent="0.4">
      <c r="A1147" s="38" t="s">
        <v>6008</v>
      </c>
      <c r="B1147" s="40" t="str">
        <f>IFERROR(INDEX(Mots!$B:$B,MATCH($A1147,Mots!$A:$A,0)),"introuvable")</f>
        <v>le musicien</v>
      </c>
    </row>
    <row r="1148" spans="1:3" hidden="1" x14ac:dyDescent="0.4">
      <c r="A1148" s="38" t="s">
        <v>6016</v>
      </c>
      <c r="B1148" s="40" t="str">
        <f>IFERROR(INDEX(Mots!$B:$B,MATCH($A1148,Mots!$A:$A,0)),"introuvable")</f>
        <v>le niveau</v>
      </c>
    </row>
    <row r="1149" spans="1:3" hidden="1" x14ac:dyDescent="0.4">
      <c r="A1149" s="38" t="s">
        <v>6023</v>
      </c>
      <c r="B1149" s="40" t="str">
        <f>IFERROR(INDEX(Mots!$B:$B,MATCH($A1149,Mots!$A:$A,0)),"introuvable")</f>
        <v>le nombre</v>
      </c>
    </row>
    <row r="1150" spans="1:3" hidden="1" x14ac:dyDescent="0.4">
      <c r="A1150" s="38" t="s">
        <v>6027</v>
      </c>
      <c r="B1150" s="40" t="str">
        <f>IFERROR(INDEX(Mots!$B:$B,MATCH($A1150,Mots!$A:$A,0)),"introuvable")</f>
        <v>le noyau</v>
      </c>
    </row>
    <row r="1151" spans="1:3" hidden="1" x14ac:dyDescent="0.4">
      <c r="A1151" s="38" t="s">
        <v>6035</v>
      </c>
      <c r="B1151" s="40" t="str">
        <f>IFERROR(INDEX(Mots!$B:$B,MATCH($A1151,Mots!$A:$A,0)),"introuvable")</f>
        <v>le nuage</v>
      </c>
    </row>
    <row r="1152" spans="1:3" hidden="1" x14ac:dyDescent="0.4">
      <c r="A1152" s="38" t="s">
        <v>6043</v>
      </c>
      <c r="B1152" s="40" t="str">
        <f>IFERROR(INDEX(Mots!$B:$B,MATCH($A1152,Mots!$A:$A,0)),"introuvable")</f>
        <v>le numéro</v>
      </c>
    </row>
    <row r="1153" spans="1:6" hidden="1" x14ac:dyDescent="0.4">
      <c r="A1153" s="38" t="s">
        <v>6047</v>
      </c>
      <c r="B1153" s="40" t="str">
        <f>IFERROR(INDEX(Mots!$B:$B,MATCH($A1153,Mots!$A:$A,0)),"introuvable")</f>
        <v>le panier</v>
      </c>
    </row>
    <row r="1154" spans="1:6" hidden="1" x14ac:dyDescent="0.4">
      <c r="A1154" s="38" t="s">
        <v>6055</v>
      </c>
      <c r="B1154" s="40" t="str">
        <f>IFERROR(INDEX(Mots!$B:$B,MATCH($A1154,Mots!$A:$A,0)),"introuvable")</f>
        <v>le panneau</v>
      </c>
    </row>
    <row r="1155" spans="1:6" hidden="1" x14ac:dyDescent="0.4">
      <c r="A1155" s="38" t="s">
        <v>6059</v>
      </c>
      <c r="B1155" s="40" t="str">
        <f>IFERROR(INDEX(Mots!$B:$B,MATCH($A1155,Mots!$A:$A,0)),"introuvable")</f>
        <v>le pansement</v>
      </c>
      <c r="C1155" s="38" t="s">
        <v>201</v>
      </c>
    </row>
    <row r="1156" spans="1:6" hidden="1" x14ac:dyDescent="0.4">
      <c r="A1156" s="38" t="s">
        <v>6067</v>
      </c>
      <c r="B1156" s="40" t="str">
        <f>IFERROR(INDEX(Mots!$B:$B,MATCH($A1156,Mots!$A:$A,0)),"introuvable")</f>
        <v>le papier</v>
      </c>
    </row>
    <row r="1157" spans="1:6" hidden="1" x14ac:dyDescent="0.4">
      <c r="A1157" s="38" t="s">
        <v>6075</v>
      </c>
      <c r="B1157" s="40" t="str">
        <f>IFERROR(INDEX(Mots!$B:$B,MATCH($A1157,Mots!$A:$A,0)),"introuvable")</f>
        <v>le parapluie</v>
      </c>
      <c r="C1157" s="38" t="s">
        <v>10108</v>
      </c>
    </row>
    <row r="1158" spans="1:6" hidden="1" x14ac:dyDescent="0.4">
      <c r="A1158" s="38" t="s">
        <v>6083</v>
      </c>
      <c r="B1158" s="40" t="str">
        <f>IFERROR(INDEX(Mots!$B:$B,MATCH($A1158,Mots!$A:$A,0)),"introuvable")</f>
        <v>le parking</v>
      </c>
    </row>
    <row r="1159" spans="1:6" hidden="1" x14ac:dyDescent="0.4">
      <c r="A1159" s="38" t="s">
        <v>6091</v>
      </c>
      <c r="B1159" s="40" t="str">
        <f>IFERROR(INDEX(Mots!$B:$B,MATCH($A1159,Mots!$A:$A,0)),"introuvable")</f>
        <v>partager</v>
      </c>
    </row>
    <row r="1160" spans="1:6" hidden="1" x14ac:dyDescent="0.4">
      <c r="A1160" s="38" t="s">
        <v>6096</v>
      </c>
      <c r="B1160" s="40" t="str">
        <f>IFERROR(INDEX(Mots!$B:$B,MATCH($A1160,Mots!$A:$A,0)),"introuvable")</f>
        <v>le passage</v>
      </c>
    </row>
    <row r="1161" spans="1:6" hidden="1" x14ac:dyDescent="0.4">
      <c r="A1161" s="38" t="s">
        <v>6104</v>
      </c>
      <c r="B1161" s="40" t="str">
        <f>IFERROR(INDEX(Mots!$B:$B,MATCH($A1161,Mots!$A:$A,0)),"introuvable")</f>
        <v>le pays</v>
      </c>
    </row>
    <row r="1162" spans="1:6" hidden="1" x14ac:dyDescent="0.4">
      <c r="A1162" s="38" t="s">
        <v>6112</v>
      </c>
      <c r="B1162" s="40" t="str">
        <f>IFERROR(INDEX(Mots!$B:$B,MATCH($A1162,Mots!$A:$A,0)),"introuvable")</f>
        <v>le paysage</v>
      </c>
    </row>
    <row r="1163" spans="1:6" hidden="1" x14ac:dyDescent="0.4">
      <c r="A1163" s="38" t="s">
        <v>6116</v>
      </c>
      <c r="B1163" s="40" t="str">
        <f>IFERROR(INDEX(Mots!$B:$B,MATCH($A1163,Mots!$A:$A,0)),"introuvable")</f>
        <v>le permis</v>
      </c>
      <c r="F1163" s="38" t="s">
        <v>12</v>
      </c>
    </row>
    <row r="1164" spans="1:6" hidden="1" x14ac:dyDescent="0.4">
      <c r="A1164" s="38" t="s">
        <v>6123</v>
      </c>
      <c r="B1164" s="40" t="str">
        <f>IFERROR(INDEX(Mots!$B:$B,MATCH($A1164,Mots!$A:$A,0)),"introuvable")</f>
        <v>le pharmacien</v>
      </c>
    </row>
    <row r="1165" spans="1:6" hidden="1" x14ac:dyDescent="0.4">
      <c r="A1165" s="38" t="s">
        <v>6127</v>
      </c>
      <c r="B1165" s="40" t="str">
        <f>IFERROR(INDEX(Mots!$B:$B,MATCH($A1165,Mots!$A:$A,0)),"introuvable")</f>
        <v>le piment</v>
      </c>
    </row>
    <row r="1166" spans="1:6" hidden="1" x14ac:dyDescent="0.4">
      <c r="A1166" s="38" t="s">
        <v>6134</v>
      </c>
      <c r="B1166" s="40" t="str">
        <f>IFERROR(INDEX(Mots!$B:$B,MATCH($A1166,Mots!$A:$A,0)),"introuvable")</f>
        <v>le pinceau</v>
      </c>
      <c r="C1166" s="38" t="s">
        <v>10108</v>
      </c>
    </row>
    <row r="1167" spans="1:6" hidden="1" x14ac:dyDescent="0.4">
      <c r="A1167" s="38" t="s">
        <v>6142</v>
      </c>
      <c r="B1167" s="40" t="str">
        <f>IFERROR(INDEX(Mots!$B:$B,MATCH($A1167,Mots!$A:$A,0)),"introuvable")</f>
        <v>le pique-nique</v>
      </c>
    </row>
    <row r="1168" spans="1:6" hidden="1" x14ac:dyDescent="0.4">
      <c r="A1168" s="38" t="s">
        <v>6150</v>
      </c>
      <c r="B1168" s="40" t="str">
        <f>IFERROR(INDEX(Mots!$B:$B,MATCH($A1168,Mots!$A:$A,0)),"introuvable")</f>
        <v>le plafond</v>
      </c>
      <c r="C1168" s="38" t="s">
        <v>182</v>
      </c>
    </row>
    <row r="1169" spans="1:3" hidden="1" x14ac:dyDescent="0.4">
      <c r="A1169" s="38" t="s">
        <v>6156</v>
      </c>
      <c r="B1169" s="40" t="str">
        <f>IFERROR(INDEX(Mots!$B:$B,MATCH($A1169,Mots!$A:$A,0)),"introuvable")</f>
        <v>le plaisir</v>
      </c>
    </row>
    <row r="1170" spans="1:3" hidden="1" x14ac:dyDescent="0.4">
      <c r="A1170" s="38" t="s">
        <v>6160</v>
      </c>
      <c r="B1170" s="40" t="str">
        <f>IFERROR(INDEX(Mots!$B:$B,MATCH($A1170,Mots!$A:$A,0)),"introuvable")</f>
        <v>le plancher</v>
      </c>
      <c r="C1170" s="38" t="s">
        <v>182</v>
      </c>
    </row>
    <row r="1171" spans="1:3" hidden="1" x14ac:dyDescent="0.4">
      <c r="A1171" s="38" t="s">
        <v>6168</v>
      </c>
      <c r="B1171" s="40" t="str">
        <f>IFERROR(INDEX(Mots!$B:$B,MATCH($A1171,Mots!$A:$A,0)),"introuvable")</f>
        <v>le plastique</v>
      </c>
    </row>
    <row r="1172" spans="1:3" hidden="1" x14ac:dyDescent="0.4">
      <c r="A1172" s="38" t="s">
        <v>6175</v>
      </c>
      <c r="B1172" s="40" t="str">
        <f>IFERROR(INDEX(Mots!$B:$B,MATCH($A1172,Mots!$A:$A,0)),"introuvable")</f>
        <v>le poil</v>
      </c>
    </row>
    <row r="1173" spans="1:3" hidden="1" x14ac:dyDescent="0.4">
      <c r="A1173" s="38" t="s">
        <v>6182</v>
      </c>
      <c r="B1173" s="40" t="str">
        <f>IFERROR(INDEX(Mots!$B:$B,MATCH($A1173,Mots!$A:$A,0)),"introuvable")</f>
        <v>le point</v>
      </c>
    </row>
    <row r="1174" spans="1:3" hidden="1" x14ac:dyDescent="0.4">
      <c r="A1174" s="38" t="s">
        <v>6186</v>
      </c>
      <c r="B1174" s="40" t="str">
        <f>IFERROR(INDEX(Mots!$B:$B,MATCH($A1174,Mots!$A:$A,0)),"introuvable")</f>
        <v>le portefeuille</v>
      </c>
    </row>
    <row r="1175" spans="1:3" hidden="1" x14ac:dyDescent="0.4">
      <c r="A1175" s="38" t="s">
        <v>6190</v>
      </c>
      <c r="B1175" s="40" t="str">
        <f>IFERROR(INDEX(Mots!$B:$B,MATCH($A1175,Mots!$A:$A,0)),"introuvable")</f>
        <v>le porte-manteau</v>
      </c>
    </row>
    <row r="1176" spans="1:3" hidden="1" x14ac:dyDescent="0.4">
      <c r="A1176" s="38" t="s">
        <v>6198</v>
      </c>
      <c r="B1176" s="40" t="str">
        <f>IFERROR(INDEX(Mots!$B:$B,MATCH($A1176,Mots!$A:$A,0)),"introuvable")</f>
        <v>le prix</v>
      </c>
    </row>
    <row r="1177" spans="1:3" hidden="1" x14ac:dyDescent="0.4">
      <c r="A1177" s="38" t="s">
        <v>6202</v>
      </c>
      <c r="B1177" s="40" t="str">
        <f>IFERROR(INDEX(Mots!$B:$B,MATCH($A1177,Mots!$A:$A,0)),"introuvable")</f>
        <v>le problème</v>
      </c>
    </row>
    <row r="1178" spans="1:3" hidden="1" x14ac:dyDescent="0.4">
      <c r="A1178" s="38" t="s">
        <v>6206</v>
      </c>
      <c r="B1178" s="40" t="str">
        <f>IFERROR(INDEX(Mots!$B:$B,MATCH($A1178,Mots!$A:$A,0)),"introuvable")</f>
        <v>le puzzle</v>
      </c>
    </row>
    <row r="1179" spans="1:3" hidden="1" x14ac:dyDescent="0.4">
      <c r="A1179" s="38" t="s">
        <v>6210</v>
      </c>
      <c r="B1179" s="40" t="str">
        <f>IFERROR(INDEX(Mots!$B:$B,MATCH($A1179,Mots!$A:$A,0)),"introuvable")</f>
        <v>le quartier</v>
      </c>
    </row>
    <row r="1180" spans="1:3" hidden="1" x14ac:dyDescent="0.4">
      <c r="A1180" s="38" t="s">
        <v>6216</v>
      </c>
      <c r="B1180" s="40" t="str">
        <f>IFERROR(INDEX(Mots!$B:$B,MATCH($A1180,Mots!$A:$A,0)),"introuvable")</f>
        <v>le récipient</v>
      </c>
    </row>
    <row r="1181" spans="1:3" hidden="1" x14ac:dyDescent="0.4">
      <c r="A1181" s="38" t="s">
        <v>6222</v>
      </c>
      <c r="B1181" s="40" t="str">
        <f>IFERROR(INDEX(Mots!$B:$B,MATCH($A1181,Mots!$A:$A,0)),"introuvable")</f>
        <v>le récit</v>
      </c>
    </row>
    <row r="1182" spans="1:3" hidden="1" x14ac:dyDescent="0.4">
      <c r="A1182" s="38" t="s">
        <v>6229</v>
      </c>
      <c r="B1182" s="40" t="str">
        <f>IFERROR(INDEX(Mots!$B:$B,MATCH($A1182,Mots!$A:$A,0)),"introuvable")</f>
        <v>le reçu</v>
      </c>
    </row>
    <row r="1183" spans="1:3" hidden="1" x14ac:dyDescent="0.4">
      <c r="A1183" s="38" t="s">
        <v>6233</v>
      </c>
      <c r="B1183" s="40" t="str">
        <f>IFERROR(INDEX(Mots!$B:$B,MATCH($A1183,Mots!$A:$A,0)),"introuvable")</f>
        <v>le reflet</v>
      </c>
    </row>
    <row r="1184" spans="1:3" hidden="1" x14ac:dyDescent="0.4">
      <c r="A1184" s="38" t="s">
        <v>6241</v>
      </c>
      <c r="B1184" s="40" t="str">
        <f>IFERROR(INDEX(Mots!$B:$B,MATCH($A1184,Mots!$A:$A,0)),"introuvable")</f>
        <v>le regret</v>
      </c>
    </row>
    <row r="1185" spans="1:2" hidden="1" x14ac:dyDescent="0.4">
      <c r="A1185" s="38" t="s">
        <v>6245</v>
      </c>
      <c r="B1185" s="40" t="str">
        <f>IFERROR(INDEX(Mots!$B:$B,MATCH($A1185,Mots!$A:$A,0)),"introuvable")</f>
        <v>le relief</v>
      </c>
    </row>
    <row r="1186" spans="1:2" hidden="1" x14ac:dyDescent="0.4">
      <c r="A1186" s="38" t="s">
        <v>6249</v>
      </c>
      <c r="B1186" s="40" t="str">
        <f>IFERROR(INDEX(Mots!$B:$B,MATCH($A1186,Mots!$A:$A,0)),"introuvable")</f>
        <v>le remède</v>
      </c>
    </row>
    <row r="1187" spans="1:2" hidden="1" x14ac:dyDescent="0.4">
      <c r="A1187" s="38" t="s">
        <v>6256</v>
      </c>
      <c r="B1187" s="40" t="str">
        <f>IFERROR(INDEX(Mots!$B:$B,MATCH($A1187,Mots!$A:$A,0)),"introuvable")</f>
        <v>le repos</v>
      </c>
    </row>
    <row r="1188" spans="1:2" hidden="1" x14ac:dyDescent="0.4">
      <c r="A1188" s="38" t="s">
        <v>6260</v>
      </c>
      <c r="B1188" s="40" t="str">
        <f>IFERROR(INDEX(Mots!$B:$B,MATCH($A1188,Mots!$A:$A,0)),"introuvable")</f>
        <v>le respect</v>
      </c>
    </row>
    <row r="1189" spans="1:2" hidden="1" x14ac:dyDescent="0.4">
      <c r="A1189" s="38" t="s">
        <v>6265</v>
      </c>
      <c r="B1189" s="40" t="str">
        <f>IFERROR(INDEX(Mots!$B:$B,MATCH($A1189,Mots!$A:$A,0)),"introuvable")</f>
        <v>le résultat</v>
      </c>
    </row>
    <row r="1190" spans="1:2" hidden="1" x14ac:dyDescent="0.4">
      <c r="A1190" s="38" t="s">
        <v>6269</v>
      </c>
      <c r="B1190" s="40" t="str">
        <f>IFERROR(INDEX(Mots!$B:$B,MATCH($A1190,Mots!$A:$A,0)),"introuvable")</f>
        <v>le retour</v>
      </c>
    </row>
    <row r="1191" spans="1:2" hidden="1" x14ac:dyDescent="0.4">
      <c r="A1191" s="38" t="s">
        <v>6273</v>
      </c>
      <c r="B1191" s="40" t="str">
        <f>IFERROR(INDEX(Mots!$B:$B,MATCH($A1191,Mots!$A:$A,0)),"introuvable")</f>
        <v>le rhume</v>
      </c>
    </row>
    <row r="1192" spans="1:2" hidden="1" x14ac:dyDescent="0.4">
      <c r="A1192" s="38" t="s">
        <v>6281</v>
      </c>
      <c r="B1192" s="40" t="str">
        <f>IFERROR(INDEX(Mots!$B:$B,MATCH($A1192,Mots!$A:$A,0)),"introuvable")</f>
        <v>le risque</v>
      </c>
    </row>
    <row r="1193" spans="1:2" hidden="1" x14ac:dyDescent="0.4">
      <c r="A1193" s="38" t="s">
        <v>6285</v>
      </c>
      <c r="B1193" s="40" t="str">
        <f>IFERROR(INDEX(Mots!$B:$B,MATCH($A1193,Mots!$A:$A,0)),"introuvable")</f>
        <v>le ruban</v>
      </c>
    </row>
    <row r="1194" spans="1:2" hidden="1" x14ac:dyDescent="0.4">
      <c r="A1194" s="38" t="s">
        <v>6289</v>
      </c>
      <c r="B1194" s="40" t="str">
        <f>IFERROR(INDEX(Mots!$B:$B,MATCH($A1194,Mots!$A:$A,0)),"introuvable")</f>
        <v>le rythme</v>
      </c>
    </row>
    <row r="1195" spans="1:2" hidden="1" x14ac:dyDescent="0.4">
      <c r="A1195" s="38" t="s">
        <v>6296</v>
      </c>
      <c r="B1195" s="40" t="str">
        <f>IFERROR(INDEX(Mots!$B:$B,MATCH($A1195,Mots!$A:$A,0)),"introuvable")</f>
        <v>le sable</v>
      </c>
    </row>
    <row r="1196" spans="1:2" hidden="1" x14ac:dyDescent="0.4">
      <c r="A1196" s="38" t="s">
        <v>6306</v>
      </c>
      <c r="B1196" s="40" t="str">
        <f>IFERROR(INDEX(Mots!$B:$B,MATCH($A1196,Mots!$A:$A,0)),"introuvable")</f>
        <v>le sac</v>
      </c>
    </row>
    <row r="1197" spans="1:2" hidden="1" x14ac:dyDescent="0.4">
      <c r="A1197" s="38" t="s">
        <v>6330</v>
      </c>
      <c r="B1197" s="40" t="str">
        <f>IFERROR(INDEX(Mots!$B:$B,MATCH($A1197,Mots!$A:$A,0)),"introuvable")</f>
        <v>le secours</v>
      </c>
    </row>
    <row r="1198" spans="1:2" hidden="1" x14ac:dyDescent="0.4">
      <c r="A1198" s="38" t="s">
        <v>6334</v>
      </c>
      <c r="B1198" s="40" t="str">
        <f>IFERROR(INDEX(Mots!$B:$B,MATCH($A1198,Mots!$A:$A,0)),"introuvable")</f>
        <v>le secret</v>
      </c>
    </row>
    <row r="1199" spans="1:2" hidden="1" x14ac:dyDescent="0.4">
      <c r="A1199" s="38" t="s">
        <v>6338</v>
      </c>
      <c r="B1199" s="40" t="str">
        <f>IFERROR(INDEX(Mots!$B:$B,MATCH($A1199,Mots!$A:$A,0)),"introuvable")</f>
        <v>le secteur</v>
      </c>
    </row>
    <row r="1200" spans="1:2" hidden="1" x14ac:dyDescent="0.4">
      <c r="A1200" s="38" t="s">
        <v>6343</v>
      </c>
      <c r="B1200" s="40" t="str">
        <f>IFERROR(INDEX(Mots!$B:$B,MATCH($A1200,Mots!$A:$A,0)),"introuvable")</f>
        <v>le sentier</v>
      </c>
    </row>
    <row r="1201" spans="1:4" hidden="1" x14ac:dyDescent="0.4">
      <c r="A1201" s="38" t="s">
        <v>6351</v>
      </c>
      <c r="B1201" s="40" t="str">
        <f>IFERROR(INDEX(Mots!$B:$B,MATCH($A1201,Mots!$A:$A,0)),"introuvable")</f>
        <v>le service</v>
      </c>
    </row>
    <row r="1202" spans="1:4" hidden="1" x14ac:dyDescent="0.4">
      <c r="A1202" s="38" t="s">
        <v>6356</v>
      </c>
      <c r="B1202" s="40" t="str">
        <f>IFERROR(INDEX(Mots!$B:$B,MATCH($A1202,Mots!$A:$A,0)),"introuvable")</f>
        <v>le signe</v>
      </c>
    </row>
    <row r="1203" spans="1:4" hidden="1" x14ac:dyDescent="0.4">
      <c r="A1203" s="38" t="s">
        <v>6364</v>
      </c>
      <c r="B1203" s="40" t="str">
        <f>IFERROR(INDEX(Mots!$B:$B,MATCH($A1203,Mots!$A:$A,0)),"introuvable")</f>
        <v>le silence</v>
      </c>
    </row>
    <row r="1204" spans="1:4" hidden="1" x14ac:dyDescent="0.4">
      <c r="A1204" s="38" t="s">
        <v>6368</v>
      </c>
      <c r="B1204" s="40" t="str">
        <f>IFERROR(INDEX(Mots!$B:$B,MATCH($A1204,Mots!$A:$A,0)),"introuvable")</f>
        <v>soigner</v>
      </c>
    </row>
    <row r="1205" spans="1:4" hidden="1" x14ac:dyDescent="0.4">
      <c r="A1205" s="38" t="s">
        <v>6373</v>
      </c>
      <c r="B1205" s="40" t="str">
        <f>IFERROR(INDEX(Mots!$B:$B,MATCH($A1205,Mots!$A:$A,0)),"introuvable")</f>
        <v>le sol</v>
      </c>
    </row>
    <row r="1206" spans="1:4" hidden="1" x14ac:dyDescent="0.4">
      <c r="A1206" s="38" t="s">
        <v>6377</v>
      </c>
      <c r="B1206" s="40" t="str">
        <f>IFERROR(INDEX(Mots!$B:$B,MATCH($A1206,Mots!$A:$A,0)),"introuvable")</f>
        <v>le sommeil</v>
      </c>
      <c r="C1206" s="38" t="s">
        <v>196</v>
      </c>
    </row>
    <row r="1207" spans="1:4" hidden="1" x14ac:dyDescent="0.4">
      <c r="A1207" s="38" t="s">
        <v>6380</v>
      </c>
      <c r="B1207" s="40" t="str">
        <f>IFERROR(INDEX(Mots!$B:$B,MATCH($A1207,Mots!$A:$A,0)),"introuvable")</f>
        <v>le souhait</v>
      </c>
    </row>
    <row r="1208" spans="1:4" hidden="1" x14ac:dyDescent="0.4">
      <c r="A1208" s="38" t="s">
        <v>6385</v>
      </c>
      <c r="B1208" s="40" t="str">
        <f>IFERROR(INDEX(Mots!$B:$B,MATCH($A1208,Mots!$A:$A,0)),"introuvable")</f>
        <v>le souvenir</v>
      </c>
    </row>
    <row r="1209" spans="1:4" hidden="1" x14ac:dyDescent="0.4">
      <c r="A1209" s="38" t="s">
        <v>6389</v>
      </c>
      <c r="B1209" s="40" t="str">
        <f>IFERROR(INDEX(Mots!$B:$B,MATCH($A1209,Mots!$A:$A,0)),"introuvable")</f>
        <v>le sport</v>
      </c>
    </row>
    <row r="1210" spans="1:4" hidden="1" x14ac:dyDescent="0.4">
      <c r="A1210" s="38" t="s">
        <v>6398</v>
      </c>
      <c r="B1210" s="40" t="str">
        <f>IFERROR(INDEX(Mots!$B:$B,MATCH($A1210,Mots!$A:$A,0)),"introuvable")</f>
        <v>le stade</v>
      </c>
    </row>
    <row r="1211" spans="1:4" hidden="1" x14ac:dyDescent="0.4">
      <c r="A1211" s="38" t="s">
        <v>6404</v>
      </c>
      <c r="B1211" s="40" t="str">
        <f>IFERROR(INDEX(Mots!$B:$B,MATCH($A1211,Mots!$A:$A,0)),"introuvable")</f>
        <v>le stylo</v>
      </c>
      <c r="C1211" s="38" t="s">
        <v>147</v>
      </c>
      <c r="D1211" s="38" t="s">
        <v>186</v>
      </c>
    </row>
    <row r="1212" spans="1:4" hidden="1" x14ac:dyDescent="0.4">
      <c r="A1212" s="38" t="s">
        <v>6412</v>
      </c>
      <c r="B1212" s="40" t="str">
        <f>IFERROR(INDEX(Mots!$B:$B,MATCH($A1212,Mots!$A:$A,0)),"introuvable")</f>
        <v>le tableau</v>
      </c>
    </row>
    <row r="1213" spans="1:4" hidden="1" x14ac:dyDescent="0.4">
      <c r="A1213" s="38" t="s">
        <v>6416</v>
      </c>
      <c r="B1213" s="40" t="str">
        <f>IFERROR(INDEX(Mots!$B:$B,MATCH($A1213,Mots!$A:$A,0)),"introuvable")</f>
        <v>le tablier</v>
      </c>
    </row>
    <row r="1214" spans="1:4" hidden="1" x14ac:dyDescent="0.4">
      <c r="A1214" s="38" t="s">
        <v>6424</v>
      </c>
      <c r="B1214" s="40" t="str">
        <f>IFERROR(INDEX(Mots!$B:$B,MATCH($A1214,Mots!$A:$A,0)),"introuvable")</f>
        <v>le tas</v>
      </c>
    </row>
    <row r="1215" spans="1:4" hidden="1" x14ac:dyDescent="0.4">
      <c r="A1215" s="38" t="s">
        <v>6432</v>
      </c>
      <c r="B1215" s="40" t="str">
        <f>IFERROR(INDEX(Mots!$B:$B,MATCH($A1215,Mots!$A:$A,0)),"introuvable")</f>
        <v>le terrain</v>
      </c>
    </row>
    <row r="1216" spans="1:4" hidden="1" x14ac:dyDescent="0.4">
      <c r="A1216" s="38" t="s">
        <v>6440</v>
      </c>
      <c r="B1216" s="40" t="str">
        <f>IFERROR(INDEX(Mots!$B:$B,MATCH($A1216,Mots!$A:$A,0)),"introuvable")</f>
        <v>le territoire</v>
      </c>
    </row>
    <row r="1217" spans="1:2" hidden="1" x14ac:dyDescent="0.4">
      <c r="A1217" s="38" t="s">
        <v>6444</v>
      </c>
      <c r="B1217" s="40" t="str">
        <f>IFERROR(INDEX(Mots!$B:$B,MATCH($A1217,Mots!$A:$A,0)),"introuvable")</f>
        <v>le texte</v>
      </c>
    </row>
    <row r="1218" spans="1:2" hidden="1" x14ac:dyDescent="0.4">
      <c r="A1218" s="38" t="s">
        <v>6459</v>
      </c>
      <c r="B1218" s="40" t="str">
        <f>IFERROR(INDEX(Mots!$B:$B,MATCH($A1218,Mots!$A:$A,0)),"introuvable")</f>
        <v>le timbre</v>
      </c>
    </row>
    <row r="1219" spans="1:2" hidden="1" x14ac:dyDescent="0.4">
      <c r="A1219" s="38" t="s">
        <v>6475</v>
      </c>
      <c r="B1219" s="40" t="str">
        <f>IFERROR(INDEX(Mots!$B:$B,MATCH($A1219,Mots!$A:$A,0)),"introuvable")</f>
        <v>le tissu</v>
      </c>
    </row>
    <row r="1220" spans="1:2" hidden="1" x14ac:dyDescent="0.4">
      <c r="A1220" s="38" t="s">
        <v>6483</v>
      </c>
      <c r="B1220" s="40" t="str">
        <f>IFERROR(INDEX(Mots!$B:$B,MATCH($A1220,Mots!$A:$A,0)),"introuvable")</f>
        <v>le tonnerre</v>
      </c>
    </row>
    <row r="1221" spans="1:2" hidden="1" x14ac:dyDescent="0.4">
      <c r="A1221" s="38" t="s">
        <v>6487</v>
      </c>
      <c r="B1221" s="40" t="str">
        <f>IFERROR(INDEX(Mots!$B:$B,MATCH($A1221,Mots!$A:$A,0)),"introuvable")</f>
        <v>le total</v>
      </c>
    </row>
    <row r="1222" spans="1:2" hidden="1" x14ac:dyDescent="0.4">
      <c r="A1222" s="38" t="s">
        <v>6498</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6507</v>
      </c>
      <c r="B1224" s="40" t="str">
        <f>IFERROR(INDEX(Mots!$B:$B,MATCH($A1224,Mots!$A:$A,0)),"introuvable")</f>
        <v>le trottoir</v>
      </c>
    </row>
    <row r="1225" spans="1:2" hidden="1" x14ac:dyDescent="0.4">
      <c r="A1225" s="38" t="s">
        <v>6511</v>
      </c>
      <c r="B1225" s="40" t="str">
        <f>IFERROR(INDEX(Mots!$B:$B,MATCH($A1225,Mots!$A:$A,0)),"introuvable")</f>
        <v>le trou</v>
      </c>
    </row>
    <row r="1226" spans="1:2" hidden="1" x14ac:dyDescent="0.4">
      <c r="A1226" s="38" t="s">
        <v>6527</v>
      </c>
      <c r="B1226" s="40" t="str">
        <f>IFERROR(INDEX(Mots!$B:$B,MATCH($A1226,Mots!$A:$A,0)),"introuvable")</f>
        <v>le tube</v>
      </c>
    </row>
    <row r="1227" spans="1:2" hidden="1" x14ac:dyDescent="0.4">
      <c r="A1227" s="38" t="s">
        <v>6535</v>
      </c>
      <c r="B1227" s="40" t="str">
        <f>IFERROR(INDEX(Mots!$B:$B,MATCH($A1227,Mots!$A:$A,0)),"introuvable")</f>
        <v>le tuyau</v>
      </c>
    </row>
    <row r="1228" spans="1:2" hidden="1" x14ac:dyDescent="0.4">
      <c r="A1228" s="38" t="s">
        <v>6543</v>
      </c>
      <c r="B1228" s="40" t="str">
        <f>IFERROR(INDEX(Mots!$B:$B,MATCH($A1228,Mots!$A:$A,0)),"introuvable")</f>
        <v>le type</v>
      </c>
    </row>
    <row r="1229" spans="1:2" hidden="1" x14ac:dyDescent="0.4">
      <c r="A1229" s="38" t="s">
        <v>6548</v>
      </c>
      <c r="B1229" s="40" t="str">
        <f>IFERROR(INDEX(Mots!$B:$B,MATCH($A1229,Mots!$A:$A,0)),"introuvable")</f>
        <v>le vaccin</v>
      </c>
    </row>
    <row r="1230" spans="1:2" hidden="1" x14ac:dyDescent="0.4">
      <c r="A1230" s="38" t="s">
        <v>6552</v>
      </c>
      <c r="B1230" s="40" t="str">
        <f>IFERROR(INDEX(Mots!$B:$B,MATCH($A1230,Mots!$A:$A,0)),"introuvable")</f>
        <v>le vainqueur</v>
      </c>
    </row>
    <row r="1231" spans="1:2" hidden="1" x14ac:dyDescent="0.4">
      <c r="A1231" s="38" t="s">
        <v>6555</v>
      </c>
      <c r="B1231" s="40" t="str">
        <f>IFERROR(INDEX(Mots!$B:$B,MATCH($A1231,Mots!$A:$A,0)),"introuvable")</f>
        <v>le velours</v>
      </c>
    </row>
    <row r="1232" spans="1:2" hidden="1" x14ac:dyDescent="0.4">
      <c r="A1232" s="38" t="s">
        <v>6560</v>
      </c>
      <c r="B1232" s="40" t="str">
        <f>IFERROR(INDEX(Mots!$B:$B,MATCH($A1232,Mots!$A:$A,0)),"introuvable")</f>
        <v>le vent</v>
      </c>
    </row>
    <row r="1233" spans="1:3" hidden="1" x14ac:dyDescent="0.4">
      <c r="A1233" s="38" t="s">
        <v>6572</v>
      </c>
      <c r="B1233" s="40" t="str">
        <f>IFERROR(INDEX(Mots!$B:$B,MATCH($A1233,Mots!$A:$A,0)),"introuvable")</f>
        <v>le vêtement</v>
      </c>
      <c r="C1233" s="38" t="s">
        <v>196</v>
      </c>
    </row>
    <row r="1234" spans="1:3" hidden="1" x14ac:dyDescent="0.4">
      <c r="A1234" s="38" t="s">
        <v>6576</v>
      </c>
      <c r="B1234" s="40" t="str">
        <f>IFERROR(INDEX(Mots!$B:$B,MATCH($A1234,Mots!$A:$A,0)),"introuvable")</f>
        <v>le village</v>
      </c>
    </row>
    <row r="1235" spans="1:3" hidden="1" x14ac:dyDescent="0.4">
      <c r="A1235" s="38" t="s">
        <v>6595</v>
      </c>
      <c r="B1235" s="40" t="str">
        <f>IFERROR(INDEX(Mots!$B:$B,MATCH($A1235,Mots!$A:$A,0)),"introuvable")</f>
        <v>le vol</v>
      </c>
    </row>
    <row r="1236" spans="1:3" hidden="1" x14ac:dyDescent="0.4">
      <c r="A1236" s="38" t="s">
        <v>6599</v>
      </c>
      <c r="B1236" s="40" t="str">
        <f>IFERROR(INDEX(Mots!$B:$B,MATCH($A1236,Mots!$A:$A,0)),"introuvable")</f>
        <v>le volume</v>
      </c>
    </row>
    <row r="1237" spans="1:3" hidden="1" x14ac:dyDescent="0.4">
      <c r="A1237" s="38" t="s">
        <v>6602</v>
      </c>
      <c r="B1237" s="40" t="str">
        <f>IFERROR(INDEX(Mots!$B:$B,MATCH($A1237,Mots!$A:$A,0)),"introuvable")</f>
        <v>le voyage</v>
      </c>
    </row>
    <row r="1238" spans="1:3" hidden="1" x14ac:dyDescent="0.4">
      <c r="A1238" s="38" t="s">
        <v>6606</v>
      </c>
      <c r="B1238" s="40" t="str">
        <f>IFERROR(INDEX(Mots!$B:$B,MATCH($A1238,Mots!$A:$A,0)),"introuvable")</f>
        <v>l'échelle</v>
      </c>
      <c r="C1238" s="38" t="s">
        <v>10108</v>
      </c>
    </row>
    <row r="1239" spans="1:3" hidden="1" x14ac:dyDescent="0.4">
      <c r="A1239" s="38" t="s">
        <v>6614</v>
      </c>
      <c r="B1239" s="40" t="str">
        <f>IFERROR(INDEX(Mots!$B:$B,MATCH($A1239,Mots!$A:$A,0)),"introuvable")</f>
        <v>l'éclair</v>
      </c>
    </row>
    <row r="1240" spans="1:3" hidden="1" x14ac:dyDescent="0.4">
      <c r="A1240" s="38" t="s">
        <v>6622</v>
      </c>
      <c r="B1240" s="40" t="str">
        <f>IFERROR(INDEX(Mots!$B:$B,MATCH($A1240,Mots!$A:$A,0)),"introuvable")</f>
        <v>l'école</v>
      </c>
    </row>
    <row r="1241" spans="1:3" hidden="1" x14ac:dyDescent="0.4">
      <c r="A1241" s="38" t="s">
        <v>6630</v>
      </c>
      <c r="B1241" s="40" t="str">
        <f>IFERROR(INDEX(Mots!$B:$B,MATCH($A1241,Mots!$A:$A,0)),"introuvable")</f>
        <v>l'économie</v>
      </c>
    </row>
    <row r="1242" spans="1:3" hidden="1" x14ac:dyDescent="0.4">
      <c r="A1242" s="38" t="s">
        <v>6634</v>
      </c>
      <c r="B1242" s="40" t="str">
        <f>IFERROR(INDEX(Mots!$B:$B,MATCH($A1242,Mots!$A:$A,0)),"introuvable")</f>
        <v>l'écorce</v>
      </c>
    </row>
    <row r="1243" spans="1:3" hidden="1" x14ac:dyDescent="0.4">
      <c r="A1243" s="38" t="s">
        <v>6642</v>
      </c>
      <c r="B1243" s="40" t="str">
        <f>IFERROR(INDEX(Mots!$B:$B,MATCH($A1243,Mots!$A:$A,0)),"introuvable")</f>
        <v>l'écran</v>
      </c>
    </row>
    <row r="1244" spans="1:3" hidden="1" x14ac:dyDescent="0.4">
      <c r="A1244" s="38" t="s">
        <v>6650</v>
      </c>
      <c r="B1244" s="40" t="str">
        <f>IFERROR(INDEX(Mots!$B:$B,MATCH($A1244,Mots!$A:$A,0)),"introuvable")</f>
        <v>l'effort</v>
      </c>
    </row>
    <row r="1245" spans="1:3" hidden="1" x14ac:dyDescent="0.4">
      <c r="A1245" s="38" t="s">
        <v>6656</v>
      </c>
      <c r="B1245" s="40" t="str">
        <f>IFERROR(INDEX(Mots!$B:$B,MATCH($A1245,Mots!$A:$A,0)),"introuvable")</f>
        <v>l'élève</v>
      </c>
    </row>
    <row r="1246" spans="1:3" hidden="1" x14ac:dyDescent="0.4">
      <c r="A1246" s="38" t="s">
        <v>6664</v>
      </c>
      <c r="B1246" s="40" t="str">
        <f>IFERROR(INDEX(Mots!$B:$B,MATCH($A1246,Mots!$A:$A,0)),"introuvable")</f>
        <v>l'endroit</v>
      </c>
    </row>
    <row r="1247" spans="1:3" hidden="1" x14ac:dyDescent="0.4">
      <c r="A1247" s="38" t="s">
        <v>6668</v>
      </c>
      <c r="B1247" s="40" t="str">
        <f>IFERROR(INDEX(Mots!$B:$B,MATCH($A1247,Mots!$A:$A,0)),"introuvable")</f>
        <v>l'engin</v>
      </c>
    </row>
    <row r="1248" spans="1:3" hidden="1" x14ac:dyDescent="0.4">
      <c r="A1248" s="38" t="s">
        <v>6674</v>
      </c>
      <c r="B1248" s="40" t="str">
        <f>IFERROR(INDEX(Mots!$B:$B,MATCH($A1248,Mots!$A:$A,0)),"introuvable")</f>
        <v>l'ennui</v>
      </c>
    </row>
    <row r="1249" spans="1:3" hidden="1" x14ac:dyDescent="0.4">
      <c r="A1249" s="38" t="s">
        <v>6678</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6684</v>
      </c>
      <c r="B1251" s="40" t="str">
        <f>IFERROR(INDEX(Mots!$B:$B,MATCH($A1251,Mots!$A:$A,0)),"introuvable")</f>
        <v>l'enveloppe</v>
      </c>
    </row>
    <row r="1252" spans="1:3" hidden="1" x14ac:dyDescent="0.4">
      <c r="A1252" s="38" t="s">
        <v>6692</v>
      </c>
      <c r="B1252" s="40" t="str">
        <f>IFERROR(INDEX(Mots!$B:$B,MATCH($A1252,Mots!$A:$A,0)),"introuvable")</f>
        <v>l'envie</v>
      </c>
    </row>
    <row r="1253" spans="1:3" hidden="1" x14ac:dyDescent="0.4">
      <c r="A1253" s="38" t="s">
        <v>6697</v>
      </c>
      <c r="B1253" s="40" t="str">
        <f>IFERROR(INDEX(Mots!$B:$B,MATCH($A1253,Mots!$A:$A,0)),"introuvable")</f>
        <v>l'environnement</v>
      </c>
    </row>
    <row r="1254" spans="1:3" hidden="1" x14ac:dyDescent="0.4">
      <c r="A1254" s="38" t="s">
        <v>6706</v>
      </c>
      <c r="B1254" s="40" t="str">
        <f>IFERROR(INDEX(Mots!$B:$B,MATCH($A1254,Mots!$A:$A,0)),"introuvable")</f>
        <v>l'épice</v>
      </c>
    </row>
    <row r="1255" spans="1:3" hidden="1" x14ac:dyDescent="0.4">
      <c r="A1255" s="38" t="s">
        <v>6709</v>
      </c>
      <c r="B1255" s="40" t="str">
        <f>IFERROR(INDEX(Mots!$B:$B,MATCH($A1255,Mots!$A:$A,0)),"introuvable")</f>
        <v>l'erreur</v>
      </c>
    </row>
    <row r="1256" spans="1:3" hidden="1" x14ac:dyDescent="0.4">
      <c r="A1256" s="38" t="s">
        <v>6719</v>
      </c>
      <c r="B1256" s="40" t="str">
        <f>IFERROR(INDEX(Mots!$B:$B,MATCH($A1256,Mots!$A:$A,0)),"introuvable")</f>
        <v>les jumelles</v>
      </c>
      <c r="C1256" s="38" t="s">
        <v>10110</v>
      </c>
    </row>
    <row r="1257" spans="1:3" hidden="1" x14ac:dyDescent="0.4">
      <c r="A1257" s="38" t="s">
        <v>6731</v>
      </c>
      <c r="B1257" s="40" t="str">
        <f>IFERROR(INDEX(Mots!$B:$B,MATCH($A1257,Mots!$A:$A,0)),"introuvable")</f>
        <v>les vacances</v>
      </c>
    </row>
    <row r="1258" spans="1:3" hidden="1" x14ac:dyDescent="0.4">
      <c r="A1258" s="38" t="s">
        <v>6738</v>
      </c>
      <c r="B1258" s="40" t="str">
        <f>IFERROR(INDEX(Mots!$B:$B,MATCH($A1258,Mots!$A:$A,0)),"introuvable")</f>
        <v>l'espace</v>
      </c>
    </row>
    <row r="1259" spans="1:3" hidden="1" x14ac:dyDescent="0.4">
      <c r="A1259" s="38" t="s">
        <v>6742</v>
      </c>
      <c r="B1259" s="40" t="str">
        <f>IFERROR(INDEX(Mots!$B:$B,MATCH($A1259,Mots!$A:$A,0)),"introuvable")</f>
        <v>l'étagère</v>
      </c>
    </row>
    <row r="1260" spans="1:3" hidden="1" x14ac:dyDescent="0.4">
      <c r="A1260" s="38" t="s">
        <v>6750</v>
      </c>
      <c r="B1260" s="40" t="str">
        <f>IFERROR(INDEX(Mots!$B:$B,MATCH($A1260,Mots!$A:$A,0)),"introuvable")</f>
        <v>l'étoile</v>
      </c>
    </row>
    <row r="1261" spans="1:3" hidden="1" x14ac:dyDescent="0.4">
      <c r="A1261" s="38" t="s">
        <v>6758</v>
      </c>
      <c r="B1261" s="40" t="str">
        <f>IFERROR(INDEX(Mots!$B:$B,MATCH($A1261,Mots!$A:$A,0)),"introuvable")</f>
        <v>lever</v>
      </c>
    </row>
    <row r="1262" spans="1:3" hidden="1" x14ac:dyDescent="0.4">
      <c r="A1262" s="38" t="s">
        <v>6761</v>
      </c>
      <c r="B1262" s="40" t="str">
        <f>IFERROR(INDEX(Mots!$B:$B,MATCH($A1262,Mots!$A:$A,0)),"introuvable")</f>
        <v>l'excursion</v>
      </c>
    </row>
    <row r="1263" spans="1:3" hidden="1" x14ac:dyDescent="0.4">
      <c r="A1263" s="38" t="s">
        <v>6767</v>
      </c>
      <c r="B1263" s="40" t="str">
        <f>IFERROR(INDEX(Mots!$B:$B,MATCH($A1263,Mots!$A:$A,0)),"introuvable")</f>
        <v>l'exemple</v>
      </c>
    </row>
    <row r="1264" spans="1:3" hidden="1" x14ac:dyDescent="0.4">
      <c r="A1264" s="38" t="s">
        <v>6772</v>
      </c>
      <c r="B1264" s="40" t="str">
        <f>IFERROR(INDEX(Mots!$B:$B,MATCH($A1264,Mots!$A:$A,0)),"introuvable")</f>
        <v>l'histoire</v>
      </c>
    </row>
    <row r="1265" spans="1:3" hidden="1" x14ac:dyDescent="0.4">
      <c r="A1265" s="38" t="s">
        <v>6777</v>
      </c>
      <c r="B1265" s="40" t="str">
        <f>IFERROR(INDEX(Mots!$B:$B,MATCH($A1265,Mots!$A:$A,0)),"introuvable")</f>
        <v>l'horizon</v>
      </c>
    </row>
    <row r="1266" spans="1:3" hidden="1" x14ac:dyDescent="0.4">
      <c r="A1266" s="38" t="s">
        <v>6781</v>
      </c>
      <c r="B1266" s="40" t="str">
        <f>IFERROR(INDEX(Mots!$B:$B,MATCH($A1266,Mots!$A:$A,0)),"introuvable")</f>
        <v>l'idée</v>
      </c>
    </row>
    <row r="1267" spans="1:3" hidden="1" x14ac:dyDescent="0.4">
      <c r="A1267" s="38" t="s">
        <v>6785</v>
      </c>
      <c r="B1267" s="40" t="str">
        <f>IFERROR(INDEX(Mots!$B:$B,MATCH($A1267,Mots!$A:$A,0)),"introuvable")</f>
        <v>l'île</v>
      </c>
    </row>
    <row r="1268" spans="1:3" hidden="1" x14ac:dyDescent="0.4">
      <c r="A1268" s="38" t="s">
        <v>6789</v>
      </c>
      <c r="B1268" s="40" t="str">
        <f>IFERROR(INDEX(Mots!$B:$B,MATCH($A1268,Mots!$A:$A,0)),"introuvable")</f>
        <v>l'image</v>
      </c>
    </row>
    <row r="1269" spans="1:3" hidden="1" x14ac:dyDescent="0.4">
      <c r="A1269" s="38" t="s">
        <v>6792</v>
      </c>
      <c r="B1269" s="40" t="str">
        <f>IFERROR(INDEX(Mots!$B:$B,MATCH($A1269,Mots!$A:$A,0)),"introuvable")</f>
        <v>l'immeuble</v>
      </c>
      <c r="C1269" s="38" t="s">
        <v>366</v>
      </c>
    </row>
    <row r="1270" spans="1:3" hidden="1" x14ac:dyDescent="0.4">
      <c r="A1270" s="38" t="s">
        <v>6800</v>
      </c>
      <c r="B1270" s="40" t="str">
        <f>IFERROR(INDEX(Mots!$B:$B,MATCH($A1270,Mots!$A:$A,0)),"introuvable")</f>
        <v>l'information</v>
      </c>
    </row>
    <row r="1271" spans="1:3" hidden="1" x14ac:dyDescent="0.4">
      <c r="A1271" s="38" t="s">
        <v>6804</v>
      </c>
      <c r="B1271" s="40" t="str">
        <f>IFERROR(INDEX(Mots!$B:$B,MATCH($A1271,Mots!$A:$A,0)),"introuvable")</f>
        <v>l'inquiétude</v>
      </c>
    </row>
    <row r="1272" spans="1:3" hidden="1" x14ac:dyDescent="0.4">
      <c r="A1272" s="38" t="s">
        <v>6811</v>
      </c>
      <c r="B1272" s="40" t="str">
        <f>IFERROR(INDEX(Mots!$B:$B,MATCH($A1272,Mots!$A:$A,0)),"introuvable")</f>
        <v>l'instant</v>
      </c>
    </row>
    <row r="1273" spans="1:3" hidden="1" x14ac:dyDescent="0.4">
      <c r="A1273" s="38" t="s">
        <v>6816</v>
      </c>
      <c r="B1273" s="40" t="str">
        <f>IFERROR(INDEX(Mots!$B:$B,MATCH($A1273,Mots!$A:$A,0)),"introuvable")</f>
        <v>l'invitation</v>
      </c>
    </row>
    <row r="1274" spans="1:3" hidden="1" x14ac:dyDescent="0.4">
      <c r="A1274" s="38" t="s">
        <v>6820</v>
      </c>
      <c r="B1274" s="40" t="str">
        <f>IFERROR(INDEX(Mots!$B:$B,MATCH($A1274,Mots!$A:$A,0)),"introuvable")</f>
        <v>l'invité</v>
      </c>
    </row>
    <row r="1275" spans="1:3" hidden="1" x14ac:dyDescent="0.4">
      <c r="A1275" s="38" t="s">
        <v>6824</v>
      </c>
      <c r="B1275" s="40" t="str">
        <f>IFERROR(INDEX(Mots!$B:$B,MATCH($A1275,Mots!$A:$A,0)),"introuvable")</f>
        <v>lire</v>
      </c>
    </row>
    <row r="1276" spans="1:3" hidden="1" x14ac:dyDescent="0.4">
      <c r="A1276" s="38" t="s">
        <v>6831</v>
      </c>
      <c r="B1276" s="40" t="str">
        <f>IFERROR(INDEX(Mots!$B:$B,MATCH($A1276,Mots!$A:$A,0)),"introuvable")</f>
        <v>l'objet</v>
      </c>
    </row>
    <row r="1277" spans="1:3" hidden="1" x14ac:dyDescent="0.4">
      <c r="A1277" s="38" t="s">
        <v>6839</v>
      </c>
      <c r="B1277" s="40" t="str">
        <f>IFERROR(INDEX(Mots!$B:$B,MATCH($A1277,Mots!$A:$A,0)),"introuvable")</f>
        <v>l'odeur</v>
      </c>
    </row>
    <row r="1278" spans="1:3" hidden="1" x14ac:dyDescent="0.4">
      <c r="A1278" s="38" t="s">
        <v>6846</v>
      </c>
      <c r="B1278" s="40" t="str">
        <f>IFERROR(INDEX(Mots!$B:$B,MATCH($A1278,Mots!$A:$A,0)),"introuvable")</f>
        <v>l'oeuvre</v>
      </c>
    </row>
    <row r="1279" spans="1:3" hidden="1" x14ac:dyDescent="0.4">
      <c r="A1279" s="38" t="s">
        <v>6855</v>
      </c>
      <c r="B1279" s="40" t="str">
        <f>IFERROR(INDEX(Mots!$B:$B,MATCH($A1279,Mots!$A:$A,0)),"introuvable")</f>
        <v>loin</v>
      </c>
    </row>
    <row r="1280" spans="1:3" hidden="1" x14ac:dyDescent="0.4">
      <c r="A1280" s="38" t="s">
        <v>6857</v>
      </c>
      <c r="B1280" s="40" t="str">
        <f>IFERROR(INDEX(Mots!$B:$B,MATCH($A1280,Mots!$A:$A,0)),"introuvable")</f>
        <v>l'oiseau</v>
      </c>
    </row>
    <row r="1281" spans="1:2" hidden="1" x14ac:dyDescent="0.4">
      <c r="A1281" s="38" t="s">
        <v>6865</v>
      </c>
      <c r="B1281" s="40" t="str">
        <f>IFERROR(INDEX(Mots!$B:$B,MATCH($A1281,Mots!$A:$A,0)),"introuvable")</f>
        <v>l'ombre</v>
      </c>
    </row>
    <row r="1282" spans="1:2" hidden="1" x14ac:dyDescent="0.4">
      <c r="A1282" s="38" t="s">
        <v>6872</v>
      </c>
      <c r="B1282" s="40" t="str">
        <f>IFERROR(INDEX(Mots!$B:$B,MATCH($A1282,Mots!$A:$A,0)),"introuvable")</f>
        <v>longtemps</v>
      </c>
    </row>
    <row r="1283" spans="1:2" hidden="1" x14ac:dyDescent="0.4">
      <c r="A1283" s="38" t="s">
        <v>6876</v>
      </c>
      <c r="B1283" s="40" t="str">
        <f>IFERROR(INDEX(Mots!$B:$B,MATCH($A1283,Mots!$A:$A,0)),"introuvable")</f>
        <v>l'orage</v>
      </c>
    </row>
    <row r="1284" spans="1:2" hidden="1" x14ac:dyDescent="0.4">
      <c r="A1284" s="38" t="s">
        <v>6880</v>
      </c>
      <c r="B1284" s="40" t="str">
        <f>IFERROR(INDEX(Mots!$B:$B,MATCH($A1284,Mots!$A:$A,0)),"introuvable")</f>
        <v>l'ordonnance</v>
      </c>
    </row>
    <row r="1285" spans="1:2" hidden="1" x14ac:dyDescent="0.4">
      <c r="A1285" s="38" t="s">
        <v>6889</v>
      </c>
      <c r="B1285" s="40" t="str">
        <f>IFERROR(INDEX(Mots!$B:$B,MATCH($A1285,Mots!$A:$A,0)),"introuvable")</f>
        <v>l'unité</v>
      </c>
    </row>
    <row r="1286" spans="1:2" hidden="1" x14ac:dyDescent="0.4">
      <c r="A1286" s="38" t="s">
        <v>6894</v>
      </c>
      <c r="B1286" s="40" t="str">
        <f>IFERROR(INDEX(Mots!$B:$B,MATCH($A1286,Mots!$A:$A,0)),"introuvable")</f>
        <v>l'usage</v>
      </c>
    </row>
    <row r="1287" spans="1:2" hidden="1" x14ac:dyDescent="0.4">
      <c r="A1287" s="38" t="s">
        <v>9588</v>
      </c>
      <c r="B1287" s="40" t="str">
        <f>IFERROR(INDEX(Mots!$B:$B,MATCH($A1287,Mots!$A:$A,0)),"introuvable")</f>
        <v>mal</v>
      </c>
    </row>
    <row r="1288" spans="1:2" hidden="1" x14ac:dyDescent="0.4">
      <c r="A1288" s="38" t="s">
        <v>6909</v>
      </c>
      <c r="B1288" s="40" t="str">
        <f>IFERROR(INDEX(Mots!$B:$B,MATCH($A1288,Mots!$A:$A,0)),"introuvable")</f>
        <v>malin</v>
      </c>
    </row>
    <row r="1289" spans="1:2" hidden="1" x14ac:dyDescent="0.4">
      <c r="A1289" s="38" t="s">
        <v>6914</v>
      </c>
      <c r="B1289" s="40" t="str">
        <f>IFERROR(INDEX(Mots!$B:$B,MATCH($A1289,Mots!$A:$A,0)),"introuvable")</f>
        <v>manger</v>
      </c>
    </row>
    <row r="1290" spans="1:2" hidden="1" x14ac:dyDescent="0.4">
      <c r="A1290" s="38" t="s">
        <v>6922</v>
      </c>
      <c r="B1290" s="40" t="str">
        <f>IFERROR(INDEX(Mots!$B:$B,MATCH($A1290,Mots!$A:$A,0)),"introuvable")</f>
        <v>marcher</v>
      </c>
    </row>
    <row r="1291" spans="1:2" hidden="1" x14ac:dyDescent="0.4">
      <c r="A1291" s="38" t="s">
        <v>6930</v>
      </c>
      <c r="B1291" s="40" t="str">
        <f>IFERROR(INDEX(Mots!$B:$B,MATCH($A1291,Mots!$A:$A,0)),"introuvable")</f>
        <v>masculin</v>
      </c>
    </row>
    <row r="1292" spans="1:2" hidden="1" x14ac:dyDescent="0.4">
      <c r="A1292" s="38" t="s">
        <v>6933</v>
      </c>
      <c r="B1292" s="40" t="str">
        <f>IFERROR(INDEX(Mots!$B:$B,MATCH($A1292,Mots!$A:$A,0)),"introuvable")</f>
        <v>mentir</v>
      </c>
    </row>
    <row r="1293" spans="1:2" hidden="1" x14ac:dyDescent="0.4">
      <c r="A1293" s="38" t="s">
        <v>6936</v>
      </c>
      <c r="B1293" s="40" t="str">
        <f>IFERROR(INDEX(Mots!$B:$B,MATCH($A1293,Mots!$A:$A,0)),"introuvable")</f>
        <v>merveilleux</v>
      </c>
    </row>
    <row r="1294" spans="1:2" hidden="1" x14ac:dyDescent="0.4">
      <c r="A1294" s="38" t="s">
        <v>6939</v>
      </c>
      <c r="B1294" s="40" t="str">
        <f>IFERROR(INDEX(Mots!$B:$B,MATCH($A1294,Mots!$A:$A,0)),"introuvable")</f>
        <v>monter</v>
      </c>
    </row>
    <row r="1295" spans="1:2" hidden="1" x14ac:dyDescent="0.4">
      <c r="A1295" s="38" t="s">
        <v>6943</v>
      </c>
      <c r="B1295" s="40" t="str">
        <f>IFERROR(INDEX(Mots!$B:$B,MATCH($A1295,Mots!$A:$A,0)),"introuvable")</f>
        <v>montrer</v>
      </c>
    </row>
    <row r="1296" spans="1:2" hidden="1" x14ac:dyDescent="0.4">
      <c r="A1296" s="38" t="s">
        <v>6950</v>
      </c>
      <c r="B1296" s="40" t="str">
        <f>IFERROR(INDEX(Mots!$B:$B,MATCH($A1296,Mots!$A:$A,0)),"introuvable")</f>
        <v>nager</v>
      </c>
    </row>
    <row r="1297" spans="1:2" hidden="1" x14ac:dyDescent="0.4">
      <c r="A1297" s="38" t="s">
        <v>6958</v>
      </c>
      <c r="B1297" s="40" t="str">
        <f>IFERROR(INDEX(Mots!$B:$B,MATCH($A1297,Mots!$A:$A,0)),"introuvable")</f>
        <v>nettoyer</v>
      </c>
    </row>
    <row r="1298" spans="1:2" hidden="1" x14ac:dyDescent="0.4">
      <c r="A1298" s="38" t="s">
        <v>6966</v>
      </c>
      <c r="B1298" s="40" t="str">
        <f>IFERROR(INDEX(Mots!$B:$B,MATCH($A1298,Mots!$A:$A,0)),"introuvable")</f>
        <v>nombreux</v>
      </c>
    </row>
    <row r="1299" spans="1:2" hidden="1" x14ac:dyDescent="0.4">
      <c r="A1299" s="38" t="s">
        <v>6970</v>
      </c>
      <c r="B1299" s="40" t="str">
        <f>IFERROR(INDEX(Mots!$B:$B,MATCH($A1299,Mots!$A:$A,0)),"introuvable")</f>
        <v>nu</v>
      </c>
    </row>
    <row r="1300" spans="1:2" hidden="1" x14ac:dyDescent="0.4">
      <c r="A1300" s="38" t="s">
        <v>6977</v>
      </c>
      <c r="B1300" s="40" t="str">
        <f>IFERROR(INDEX(Mots!$B:$B,MATCH($A1300,Mots!$A:$A,0)),"introuvable")</f>
        <v>ordonner</v>
      </c>
    </row>
    <row r="1301" spans="1:2" hidden="1" x14ac:dyDescent="0.4">
      <c r="A1301" s="38" t="s">
        <v>6981</v>
      </c>
      <c r="B1301" s="40" t="str">
        <f>IFERROR(INDEX(Mots!$B:$B,MATCH($A1301,Mots!$A:$A,0)),"introuvable")</f>
        <v>oublier</v>
      </c>
    </row>
    <row r="1302" spans="1:2" hidden="1" x14ac:dyDescent="0.4">
      <c r="A1302" s="38" t="s">
        <v>6985</v>
      </c>
      <c r="B1302" s="40" t="str">
        <f>IFERROR(INDEX(Mots!$B:$B,MATCH($A1302,Mots!$A:$A,0)),"introuvable")</f>
        <v>ouvrir</v>
      </c>
    </row>
    <row r="1303" spans="1:2" hidden="1" x14ac:dyDescent="0.4">
      <c r="A1303" s="38" t="s">
        <v>9516</v>
      </c>
      <c r="B1303" s="40" t="str">
        <f>IFERROR(INDEX(Mots!$B:$B,MATCH($A1303,Mots!$A:$A,0)),"introuvable")</f>
        <v>pareil</v>
      </c>
    </row>
    <row r="1304" spans="1:2" hidden="1" x14ac:dyDescent="0.4">
      <c r="A1304" s="38" t="s">
        <v>6994</v>
      </c>
      <c r="B1304" s="40" t="str">
        <f>IFERROR(INDEX(Mots!$B:$B,MATCH($A1304,Mots!$A:$A,0)),"introuvable")</f>
        <v>parler</v>
      </c>
    </row>
    <row r="1305" spans="1:2" hidden="1" x14ac:dyDescent="0.4">
      <c r="A1305" s="38" t="s">
        <v>7003</v>
      </c>
      <c r="B1305" s="40" t="str">
        <f>IFERROR(INDEX(Mots!$B:$B,MATCH($A1305,Mots!$A:$A,0)),"introuvable")</f>
        <v>partir</v>
      </c>
    </row>
    <row r="1306" spans="1:2" hidden="1" x14ac:dyDescent="0.4">
      <c r="A1306" s="38" t="s">
        <v>7011</v>
      </c>
      <c r="B1306" s="40" t="str">
        <f>IFERROR(INDEX(Mots!$B:$B,MATCH($A1306,Mots!$A:$A,0)),"introuvable")</f>
        <v>partout</v>
      </c>
    </row>
    <row r="1307" spans="1:2" hidden="1" x14ac:dyDescent="0.4">
      <c r="A1307" s="38" t="s">
        <v>7014</v>
      </c>
      <c r="B1307" s="40" t="str">
        <f>IFERROR(INDEX(Mots!$B:$B,MATCH($A1307,Mots!$A:$A,0)),"introuvable")</f>
        <v>payer</v>
      </c>
    </row>
    <row r="1308" spans="1:2" hidden="1" x14ac:dyDescent="0.4">
      <c r="A1308" s="38" t="s">
        <v>7026</v>
      </c>
      <c r="B1308" s="40" t="str">
        <f>IFERROR(INDEX(Mots!$B:$B,MATCH($A1308,Mots!$A:$A,0)),"introuvable")</f>
        <v>penser</v>
      </c>
    </row>
    <row r="1309" spans="1:2" hidden="1" x14ac:dyDescent="0.4">
      <c r="A1309" s="38" t="s">
        <v>7030</v>
      </c>
      <c r="B1309" s="40" t="str">
        <f>IFERROR(INDEX(Mots!$B:$B,MATCH($A1309,Mots!$A:$A,0)),"introuvable")</f>
        <v>perdre</v>
      </c>
    </row>
    <row r="1310" spans="1:2" hidden="1" x14ac:dyDescent="0.4">
      <c r="A1310" s="38" t="s">
        <v>7033</v>
      </c>
      <c r="B1310" s="40" t="str">
        <f>IFERROR(INDEX(Mots!$B:$B,MATCH($A1310,Mots!$A:$A,0)),"introuvable")</f>
        <v>peu</v>
      </c>
    </row>
    <row r="1311" spans="1:2" hidden="1" x14ac:dyDescent="0.4">
      <c r="A1311" s="38" t="s">
        <v>7039</v>
      </c>
      <c r="B1311" s="40" t="str">
        <f>IFERROR(INDEX(Mots!$B:$B,MATCH($A1311,Mots!$A:$A,0)),"introuvable")</f>
        <v>piquant</v>
      </c>
    </row>
    <row r="1312" spans="1:2" hidden="1" x14ac:dyDescent="0.4">
      <c r="A1312" s="38" t="s">
        <v>7042</v>
      </c>
      <c r="B1312" s="40" t="str">
        <f>IFERROR(INDEX(Mots!$B:$B,MATCH($A1312,Mots!$A:$A,0)),"introuvable")</f>
        <v>plaindre</v>
      </c>
    </row>
    <row r="1313" spans="1:2" hidden="1" x14ac:dyDescent="0.4">
      <c r="A1313" s="38" t="s">
        <v>7046</v>
      </c>
      <c r="B1313" s="40" t="str">
        <f>IFERROR(INDEX(Mots!$B:$B,MATCH($A1313,Mots!$A:$A,0)),"introuvable")</f>
        <v>pleurer</v>
      </c>
    </row>
    <row r="1314" spans="1:2" hidden="1" x14ac:dyDescent="0.4">
      <c r="A1314" s="38" t="s">
        <v>9710</v>
      </c>
      <c r="B1314" s="40" t="str">
        <f>IFERROR(INDEX(Mots!$B:$B,MATCH($A1314,Mots!$A:$A,0)),"introuvable")</f>
        <v>plutôt</v>
      </c>
    </row>
    <row r="1315" spans="1:2" hidden="1" x14ac:dyDescent="0.4">
      <c r="A1315" s="38" t="s">
        <v>7056</v>
      </c>
      <c r="B1315" s="40" t="str">
        <f>IFERROR(INDEX(Mots!$B:$B,MATCH($A1315,Mots!$A:$A,0)),"introuvable")</f>
        <v>porter</v>
      </c>
    </row>
    <row r="1316" spans="1:2" hidden="1" x14ac:dyDescent="0.4">
      <c r="A1316" s="38" t="s">
        <v>7064</v>
      </c>
      <c r="B1316" s="40" t="str">
        <f>IFERROR(INDEX(Mots!$B:$B,MATCH($A1316,Mots!$A:$A,0)),"introuvable")</f>
        <v>poser</v>
      </c>
    </row>
    <row r="1317" spans="1:2" hidden="1" x14ac:dyDescent="0.4">
      <c r="A1317" s="38" t="s">
        <v>7072</v>
      </c>
      <c r="B1317" s="40" t="str">
        <f>IFERROR(INDEX(Mots!$B:$B,MATCH($A1317,Mots!$A:$A,0)),"introuvable")</f>
        <v>possible</v>
      </c>
    </row>
    <row r="1318" spans="1:2" hidden="1" x14ac:dyDescent="0.4">
      <c r="A1318" s="38" t="s">
        <v>7075</v>
      </c>
      <c r="B1318" s="40" t="str">
        <f>IFERROR(INDEX(Mots!$B:$B,MATCH($A1318,Mots!$A:$A,0)),"introuvable")</f>
        <v>pourtant</v>
      </c>
    </row>
    <row r="1319" spans="1:2" hidden="1" x14ac:dyDescent="0.4">
      <c r="A1319" s="38" t="s">
        <v>7077</v>
      </c>
      <c r="B1319" s="40" t="str">
        <f>IFERROR(INDEX(Mots!$B:$B,MATCH($A1319,Mots!$A:$A,0)),"introuvable")</f>
        <v>pousser</v>
      </c>
    </row>
    <row r="1320" spans="1:2" hidden="1" x14ac:dyDescent="0.4">
      <c r="A1320" s="38" t="s">
        <v>7085</v>
      </c>
      <c r="B1320" s="40" t="str">
        <f>IFERROR(INDEX(Mots!$B:$B,MATCH($A1320,Mots!$A:$A,0)),"introuvable")</f>
        <v>pouvoir</v>
      </c>
    </row>
    <row r="1321" spans="1:2" hidden="1" x14ac:dyDescent="0.4">
      <c r="A1321" s="38" t="s">
        <v>7090</v>
      </c>
      <c r="B1321" s="40" t="str">
        <f>IFERROR(INDEX(Mots!$B:$B,MATCH($A1321,Mots!$A:$A,0)),"introuvable")</f>
        <v>pratique</v>
      </c>
    </row>
    <row r="1322" spans="1:2" hidden="1" x14ac:dyDescent="0.4">
      <c r="A1322" s="38" t="s">
        <v>7093</v>
      </c>
      <c r="B1322" s="40" t="str">
        <f>IFERROR(INDEX(Mots!$B:$B,MATCH($A1322,Mots!$A:$A,0)),"introuvable")</f>
        <v>précis</v>
      </c>
    </row>
    <row r="1323" spans="1:2" hidden="1" x14ac:dyDescent="0.4">
      <c r="A1323" s="38" t="s">
        <v>7096</v>
      </c>
      <c r="B1323" s="40" t="str">
        <f>IFERROR(INDEX(Mots!$B:$B,MATCH($A1323,Mots!$A:$A,0)),"introuvable")</f>
        <v>préféré</v>
      </c>
    </row>
    <row r="1324" spans="1:2" hidden="1" x14ac:dyDescent="0.4">
      <c r="A1324" s="38" t="s">
        <v>7100</v>
      </c>
      <c r="B1324" s="40" t="str">
        <f>IFERROR(INDEX(Mots!$B:$B,MATCH($A1324,Mots!$A:$A,0)),"introuvable")</f>
        <v>prendre</v>
      </c>
    </row>
    <row r="1325" spans="1:2" hidden="1" x14ac:dyDescent="0.4">
      <c r="A1325" s="38" t="s">
        <v>7107</v>
      </c>
      <c r="B1325" s="40" t="str">
        <f>IFERROR(INDEX(Mots!$B:$B,MATCH($A1325,Mots!$A:$A,0)),"introuvable")</f>
        <v>préparer</v>
      </c>
    </row>
    <row r="1326" spans="1:2" hidden="1" x14ac:dyDescent="0.4">
      <c r="A1326" s="38" t="s">
        <v>7114</v>
      </c>
      <c r="B1326" s="40" t="str">
        <f>IFERROR(INDEX(Mots!$B:$B,MATCH($A1326,Mots!$A:$A,0)),"introuvable")</f>
        <v>près (proche)</v>
      </c>
    </row>
    <row r="1327" spans="1:2" hidden="1" x14ac:dyDescent="0.4">
      <c r="A1327" s="38" t="s">
        <v>7117</v>
      </c>
      <c r="B1327" s="40" t="str">
        <f>IFERROR(INDEX(Mots!$B:$B,MATCH($A1327,Mots!$A:$A,0)),"introuvable")</f>
        <v>presque</v>
      </c>
    </row>
    <row r="1328" spans="1:2" hidden="1" x14ac:dyDescent="0.4">
      <c r="A1328" s="38" t="s">
        <v>7119</v>
      </c>
      <c r="B1328" s="40" t="str">
        <f>IFERROR(INDEX(Mots!$B:$B,MATCH($A1328,Mots!$A:$A,0)),"introuvable")</f>
        <v>prêt</v>
      </c>
    </row>
    <row r="1329" spans="1:2" hidden="1" x14ac:dyDescent="0.4">
      <c r="A1329" s="38" t="s">
        <v>7123</v>
      </c>
      <c r="B1329" s="40" t="str">
        <f>IFERROR(INDEX(Mots!$B:$B,MATCH($A1329,Mots!$A:$A,0)),"introuvable")</f>
        <v>prévenir</v>
      </c>
    </row>
    <row r="1330" spans="1:2" hidden="1" x14ac:dyDescent="0.4">
      <c r="A1330" s="38" t="s">
        <v>7127</v>
      </c>
      <c r="B1330" s="40" t="str">
        <f>IFERROR(INDEX(Mots!$B:$B,MATCH($A1330,Mots!$A:$A,0)),"introuvable")</f>
        <v>profond</v>
      </c>
    </row>
    <row r="1331" spans="1:2" hidden="1" x14ac:dyDescent="0.4">
      <c r="A1331" s="38" t="s">
        <v>7131</v>
      </c>
      <c r="B1331" s="40" t="str">
        <f>IFERROR(INDEX(Mots!$B:$B,MATCH($A1331,Mots!$A:$A,0)),"introuvable")</f>
        <v>promettre</v>
      </c>
    </row>
    <row r="1332" spans="1:2" hidden="1" x14ac:dyDescent="0.4">
      <c r="A1332" s="38" t="s">
        <v>7135</v>
      </c>
      <c r="B1332" s="40" t="str">
        <f>IFERROR(INDEX(Mots!$B:$B,MATCH($A1332,Mots!$A:$A,0)),"introuvable")</f>
        <v>raconter</v>
      </c>
    </row>
    <row r="1333" spans="1:2" hidden="1" x14ac:dyDescent="0.4">
      <c r="A1333" s="38" t="s">
        <v>7139</v>
      </c>
      <c r="B1333" s="40" t="str">
        <f>IFERROR(INDEX(Mots!$B:$B,MATCH($A1333,Mots!$A:$A,0)),"introuvable")</f>
        <v>ramasser</v>
      </c>
    </row>
    <row r="1334" spans="1:2" hidden="1" x14ac:dyDescent="0.4">
      <c r="A1334" s="38" t="s">
        <v>7146</v>
      </c>
      <c r="B1334" s="40" t="str">
        <f>IFERROR(INDEX(Mots!$B:$B,MATCH($A1334,Mots!$A:$A,0)),"introuvable")</f>
        <v>ranger</v>
      </c>
    </row>
    <row r="1335" spans="1:2" hidden="1" x14ac:dyDescent="0.4">
      <c r="A1335" s="38" t="s">
        <v>7153</v>
      </c>
      <c r="B1335" s="40" t="str">
        <f>IFERROR(INDEX(Mots!$B:$B,MATCH($A1335,Mots!$A:$A,0)),"introuvable")</f>
        <v>rappeler</v>
      </c>
    </row>
    <row r="1336" spans="1:2" hidden="1" x14ac:dyDescent="0.4">
      <c r="A1336" s="38" t="s">
        <v>7157</v>
      </c>
      <c r="B1336" s="40" t="str">
        <f>IFERROR(INDEX(Mots!$B:$B,MATCH($A1336,Mots!$A:$A,0)),"introuvable")</f>
        <v>rarement</v>
      </c>
    </row>
    <row r="1337" spans="1:2" hidden="1" x14ac:dyDescent="0.4">
      <c r="A1337" s="38" t="s">
        <v>7160</v>
      </c>
      <c r="B1337" s="40" t="str">
        <f>IFERROR(INDEX(Mots!$B:$B,MATCH($A1337,Mots!$A:$A,0)),"introuvable")</f>
        <v>réfléchir</v>
      </c>
    </row>
    <row r="1338" spans="1:2" hidden="1" x14ac:dyDescent="0.4">
      <c r="A1338" s="38" t="s">
        <v>7164</v>
      </c>
      <c r="B1338" s="40" t="str">
        <f>IFERROR(INDEX(Mots!$B:$B,MATCH($A1338,Mots!$A:$A,0)),"introuvable")</f>
        <v>refuser</v>
      </c>
    </row>
    <row r="1339" spans="1:2" hidden="1" x14ac:dyDescent="0.4">
      <c r="A1339" s="38" t="s">
        <v>7170</v>
      </c>
      <c r="B1339" s="40" t="str">
        <f>IFERROR(INDEX(Mots!$B:$B,MATCH($A1339,Mots!$A:$A,0)),"introuvable")</f>
        <v>regarder</v>
      </c>
    </row>
    <row r="1340" spans="1:2" hidden="1" x14ac:dyDescent="0.4">
      <c r="A1340" s="38" t="s">
        <v>7182</v>
      </c>
      <c r="B1340" s="40" t="str">
        <f>IFERROR(INDEX(Mots!$B:$B,MATCH($A1340,Mots!$A:$A,0)),"introuvable")</f>
        <v>régulier</v>
      </c>
    </row>
    <row r="1341" spans="1:2" hidden="1" x14ac:dyDescent="0.4">
      <c r="A1341" s="38" t="s">
        <v>7185</v>
      </c>
      <c r="B1341" s="40" t="str">
        <f>IFERROR(INDEX(Mots!$B:$B,MATCH($A1341,Mots!$A:$A,0)),"introuvable")</f>
        <v>remarquer</v>
      </c>
    </row>
    <row r="1342" spans="1:2" hidden="1" x14ac:dyDescent="0.4">
      <c r="A1342" s="38" t="s">
        <v>7190</v>
      </c>
      <c r="B1342" s="40" t="str">
        <f>IFERROR(INDEX(Mots!$B:$B,MATCH($A1342,Mots!$A:$A,0)),"introuvable")</f>
        <v>remercier</v>
      </c>
    </row>
    <row r="1343" spans="1:2" hidden="1" x14ac:dyDescent="0.4">
      <c r="A1343" s="38" t="s">
        <v>7198</v>
      </c>
      <c r="B1343" s="40" t="str">
        <f>IFERROR(INDEX(Mots!$B:$B,MATCH($A1343,Mots!$A:$A,0)),"introuvable")</f>
        <v>réparer</v>
      </c>
    </row>
    <row r="1344" spans="1:2" hidden="1" x14ac:dyDescent="0.4">
      <c r="A1344" s="38" t="s">
        <v>7206</v>
      </c>
      <c r="B1344" s="40" t="str">
        <f>IFERROR(INDEX(Mots!$B:$B,MATCH($A1344,Mots!$A:$A,0)),"introuvable")</f>
        <v>répéter</v>
      </c>
    </row>
    <row r="1345" spans="1:2" hidden="1" x14ac:dyDescent="0.4">
      <c r="A1345" s="38" t="s">
        <v>7212</v>
      </c>
      <c r="B1345" s="40" t="str">
        <f>IFERROR(INDEX(Mots!$B:$B,MATCH($A1345,Mots!$A:$A,0)),"introuvable")</f>
        <v>répondre</v>
      </c>
    </row>
    <row r="1346" spans="1:2" hidden="1" x14ac:dyDescent="0.4">
      <c r="A1346" s="38" t="s">
        <v>7218</v>
      </c>
      <c r="B1346" s="40" t="str">
        <f>IFERROR(INDEX(Mots!$B:$B,MATCH($A1346,Mots!$A:$A,0)),"introuvable")</f>
        <v>résistant</v>
      </c>
    </row>
    <row r="1347" spans="1:2" hidden="1" x14ac:dyDescent="0.4">
      <c r="A1347" s="38" t="s">
        <v>7221</v>
      </c>
      <c r="B1347" s="40" t="str">
        <f>IFERROR(INDEX(Mots!$B:$B,MATCH($A1347,Mots!$A:$A,0)),"introuvable")</f>
        <v>rester</v>
      </c>
    </row>
    <row r="1348" spans="1:2" hidden="1" x14ac:dyDescent="0.4">
      <c r="A1348" s="38" t="s">
        <v>7227</v>
      </c>
      <c r="B1348" s="40" t="str">
        <f>IFERROR(INDEX(Mots!$B:$B,MATCH($A1348,Mots!$A:$A,0)),"introuvable")</f>
        <v>réussir</v>
      </c>
    </row>
    <row r="1349" spans="1:2" hidden="1" x14ac:dyDescent="0.4">
      <c r="A1349" s="38" t="s">
        <v>7231</v>
      </c>
      <c r="B1349" s="40" t="str">
        <f>IFERROR(INDEX(Mots!$B:$B,MATCH($A1349,Mots!$A:$A,0)),"introuvable")</f>
        <v>rire</v>
      </c>
    </row>
    <row r="1350" spans="1:2" hidden="1" x14ac:dyDescent="0.4">
      <c r="A1350" s="38" t="s">
        <v>7239</v>
      </c>
      <c r="B1350" s="40" t="str">
        <f>IFERROR(INDEX(Mots!$B:$B,MATCH($A1350,Mots!$A:$A,0)),"introuvable")</f>
        <v>roux</v>
      </c>
    </row>
    <row r="1351" spans="1:2" hidden="1" x14ac:dyDescent="0.4">
      <c r="A1351" s="38" t="s">
        <v>7246</v>
      </c>
      <c r="B1351" s="40" t="str">
        <f>IFERROR(INDEX(Mots!$B:$B,MATCH($A1351,Mots!$A:$A,0)),"introuvable")</f>
        <v>rude</v>
      </c>
    </row>
    <row r="1352" spans="1:2" hidden="1" x14ac:dyDescent="0.4">
      <c r="A1352" s="38" t="s">
        <v>7248</v>
      </c>
      <c r="B1352" s="40" t="str">
        <f>IFERROR(INDEX(Mots!$B:$B,MATCH($A1352,Mots!$A:$A,0)),"introuvable")</f>
        <v>rusé</v>
      </c>
    </row>
    <row r="1353" spans="1:2" hidden="1" x14ac:dyDescent="0.4">
      <c r="A1353" s="38" t="s">
        <v>7253</v>
      </c>
      <c r="B1353" s="40" t="str">
        <f>IFERROR(INDEX(Mots!$B:$B,MATCH($A1353,Mots!$A:$A,0)),"introuvable")</f>
        <v>saluer</v>
      </c>
    </row>
    <row r="1354" spans="1:2" hidden="1" x14ac:dyDescent="0.4">
      <c r="A1354" s="38" t="s">
        <v>7261</v>
      </c>
      <c r="B1354" s="40" t="str">
        <f>IFERROR(INDEX(Mots!$B:$B,MATCH($A1354,Mots!$A:$A,0)),"introuvable")</f>
        <v>s'asseoir</v>
      </c>
    </row>
    <row r="1355" spans="1:2" hidden="1" x14ac:dyDescent="0.4">
      <c r="A1355" s="38" t="s">
        <v>7268</v>
      </c>
      <c r="B1355" s="40" t="str">
        <f>IFERROR(INDEX(Mots!$B:$B,MATCH($A1355,Mots!$A:$A,0)),"introuvable")</f>
        <v>sauter</v>
      </c>
    </row>
    <row r="1356" spans="1:2" hidden="1" x14ac:dyDescent="0.4">
      <c r="A1356" s="38" t="s">
        <v>9613</v>
      </c>
      <c r="B1356" s="40" t="str">
        <f>IFERROR(INDEX(Mots!$B:$B,MATCH($A1356,Mots!$A:$A,0)),"introuvable")</f>
        <v>sauvage</v>
      </c>
    </row>
    <row r="1357" spans="1:2" hidden="1" x14ac:dyDescent="0.4">
      <c r="A1357" s="38" t="s">
        <v>7278</v>
      </c>
      <c r="B1357" s="40" t="str">
        <f>IFERROR(INDEX(Mots!$B:$B,MATCH($A1357,Mots!$A:$A,0)),"introuvable")</f>
        <v>savoir</v>
      </c>
    </row>
    <row r="1358" spans="1:2" hidden="1" x14ac:dyDescent="0.4">
      <c r="A1358" s="38" t="s">
        <v>7282</v>
      </c>
      <c r="B1358" s="40" t="str">
        <f>IFERROR(INDEX(Mots!$B:$B,MATCH($A1358,Mots!$A:$A,0)),"introuvable")</f>
        <v>se souvenir</v>
      </c>
    </row>
    <row r="1359" spans="1:2" hidden="1" x14ac:dyDescent="0.4">
      <c r="A1359" s="38" t="s">
        <v>7286</v>
      </c>
      <c r="B1359" s="40" t="str">
        <f>IFERROR(INDEX(Mots!$B:$B,MATCH($A1359,Mots!$A:$A,0)),"introuvable")</f>
        <v>sentir</v>
      </c>
    </row>
    <row r="1360" spans="1:2" hidden="1" x14ac:dyDescent="0.4">
      <c r="A1360" s="38" t="s">
        <v>7294</v>
      </c>
      <c r="B1360" s="40" t="str">
        <f>IFERROR(INDEX(Mots!$B:$B,MATCH($A1360,Mots!$A:$A,0)),"introuvable")</f>
        <v>serrer</v>
      </c>
    </row>
    <row r="1361" spans="1:2" hidden="1" x14ac:dyDescent="0.4">
      <c r="A1361" s="38" t="s">
        <v>7302</v>
      </c>
      <c r="B1361" s="40" t="str">
        <f>IFERROR(INDEX(Mots!$B:$B,MATCH($A1361,Mots!$A:$A,0)),"introuvable")</f>
        <v>seul</v>
      </c>
    </row>
    <row r="1362" spans="1:2" hidden="1" x14ac:dyDescent="0.4">
      <c r="A1362" s="38" t="s">
        <v>7304</v>
      </c>
      <c r="B1362" s="40" t="str">
        <f>IFERROR(INDEX(Mots!$B:$B,MATCH($A1362,Mots!$A:$A,0)),"introuvable")</f>
        <v>seulement</v>
      </c>
    </row>
    <row r="1363" spans="1:2" hidden="1" x14ac:dyDescent="0.4">
      <c r="A1363" s="38" t="s">
        <v>7307</v>
      </c>
      <c r="B1363" s="40" t="str">
        <f>IFERROR(INDEX(Mots!$B:$B,MATCH($A1363,Mots!$A:$A,0)),"introuvable")</f>
        <v>sortir</v>
      </c>
    </row>
    <row r="1364" spans="1:2" hidden="1" x14ac:dyDescent="0.4">
      <c r="A1364" s="38" t="s">
        <v>7314</v>
      </c>
      <c r="B1364" s="40" t="str">
        <f>IFERROR(INDEX(Mots!$B:$B,MATCH($A1364,Mots!$A:$A,0)),"introuvable")</f>
        <v>soudain</v>
      </c>
    </row>
    <row r="1365" spans="1:2" hidden="1" x14ac:dyDescent="0.4">
      <c r="A1365" s="38" t="s">
        <v>7316</v>
      </c>
      <c r="B1365" s="40" t="str">
        <f>IFERROR(INDEX(Mots!$B:$B,MATCH($A1365,Mots!$A:$A,0)),"introuvable")</f>
        <v>souple</v>
      </c>
    </row>
    <row r="1366" spans="1:2" hidden="1" x14ac:dyDescent="0.4">
      <c r="A1366" s="38" t="s">
        <v>7327</v>
      </c>
      <c r="B1366" s="40" t="str">
        <f>IFERROR(INDEX(Mots!$B:$B,MATCH($A1366,Mots!$A:$A,0)),"introuvable")</f>
        <v>supplier</v>
      </c>
    </row>
    <row r="1367" spans="1:2" hidden="1" x14ac:dyDescent="0.4">
      <c r="A1367" s="38" t="s">
        <v>7331</v>
      </c>
      <c r="B1367" s="40" t="str">
        <f>IFERROR(INDEX(Mots!$B:$B,MATCH($A1367,Mots!$A:$A,0)),"introuvable")</f>
        <v>surtout</v>
      </c>
    </row>
    <row r="1368" spans="1:2" hidden="1" x14ac:dyDescent="0.4">
      <c r="A1368" s="38" t="s">
        <v>7333</v>
      </c>
      <c r="B1368" s="40" t="str">
        <f>IFERROR(INDEX(Mots!$B:$B,MATCH($A1368,Mots!$A:$A,0)),"introuvable")</f>
        <v>tenir</v>
      </c>
    </row>
    <row r="1369" spans="1:2" hidden="1" x14ac:dyDescent="0.4">
      <c r="A1369" s="38" t="s">
        <v>7339</v>
      </c>
      <c r="B1369" s="40" t="str">
        <f>IFERROR(INDEX(Mots!$B:$B,MATCH($A1369,Mots!$A:$A,0)),"introuvable")</f>
        <v>tiède</v>
      </c>
    </row>
    <row r="1370" spans="1:2" hidden="1" x14ac:dyDescent="0.4">
      <c r="A1370" s="38" t="s">
        <v>7343</v>
      </c>
      <c r="B1370" s="40" t="str">
        <f>IFERROR(INDEX(Mots!$B:$B,MATCH($A1370,Mots!$A:$A,0)),"introuvable")</f>
        <v>tirer</v>
      </c>
    </row>
    <row r="1371" spans="1:2" hidden="1" x14ac:dyDescent="0.4">
      <c r="A1371" s="38" t="s">
        <v>7351</v>
      </c>
      <c r="B1371" s="40" t="str">
        <f>IFERROR(INDEX(Mots!$B:$B,MATCH($A1371,Mots!$A:$A,0)),"introuvable")</f>
        <v>tomber</v>
      </c>
    </row>
    <row r="1372" spans="1:2" hidden="1" x14ac:dyDescent="0.4">
      <c r="A1372" s="38" t="s">
        <v>7358</v>
      </c>
      <c r="B1372" s="40" t="str">
        <f>IFERROR(INDEX(Mots!$B:$B,MATCH($A1372,Mots!$A:$A,0)),"introuvable")</f>
        <v>toucher</v>
      </c>
    </row>
    <row r="1373" spans="1:2" hidden="1" x14ac:dyDescent="0.4">
      <c r="A1373" s="38" t="s">
        <v>7366</v>
      </c>
      <c r="B1373" s="40" t="str">
        <f>IFERROR(INDEX(Mots!$B:$B,MATCH($A1373,Mots!$A:$A,0)),"introuvable")</f>
        <v>touffu</v>
      </c>
    </row>
    <row r="1374" spans="1:2" hidden="1" x14ac:dyDescent="0.4">
      <c r="A1374" s="38" t="s">
        <v>7368</v>
      </c>
      <c r="B1374" s="40" t="str">
        <f>IFERROR(INDEX(Mots!$B:$B,MATCH($A1374,Mots!$A:$A,0)),"introuvable")</f>
        <v>tranquille</v>
      </c>
    </row>
    <row r="1375" spans="1:2" hidden="1" x14ac:dyDescent="0.4">
      <c r="A1375" s="38" t="s">
        <v>7371</v>
      </c>
      <c r="B1375" s="40" t="str">
        <f>IFERROR(INDEX(Mots!$B:$B,MATCH($A1375,Mots!$A:$A,0)),"introuvable")</f>
        <v>transparent</v>
      </c>
    </row>
    <row r="1376" spans="1:2" hidden="1" x14ac:dyDescent="0.4">
      <c r="A1376" s="38" t="s">
        <v>7374</v>
      </c>
      <c r="B1376" s="40" t="str">
        <f>IFERROR(INDEX(Mots!$B:$B,MATCH($A1376,Mots!$A:$A,0)),"introuvable")</f>
        <v>travailler</v>
      </c>
    </row>
    <row r="1377" spans="1:2" hidden="1" x14ac:dyDescent="0.4">
      <c r="A1377" s="38" t="s">
        <v>7378</v>
      </c>
      <c r="B1377" s="40" t="str">
        <f>IFERROR(INDEX(Mots!$B:$B,MATCH($A1377,Mots!$A:$A,0)),"introuvable")</f>
        <v>très</v>
      </c>
    </row>
    <row r="1378" spans="1:2" hidden="1" x14ac:dyDescent="0.4">
      <c r="A1378" s="38" t="s">
        <v>7381</v>
      </c>
      <c r="B1378" s="40" t="str">
        <f>IFERROR(INDEX(Mots!$B:$B,MATCH($A1378,Mots!$A:$A,0)),"introuvable")</f>
        <v>trop</v>
      </c>
    </row>
    <row r="1379" spans="1:2" hidden="1" x14ac:dyDescent="0.4">
      <c r="A1379" s="38" t="s">
        <v>7385</v>
      </c>
      <c r="B1379" s="40" t="str">
        <f>IFERROR(INDEX(Mots!$B:$B,MATCH($A1379,Mots!$A:$A,0)),"introuvable")</f>
        <v>trouver</v>
      </c>
    </row>
    <row r="1380" spans="1:2" hidden="1" x14ac:dyDescent="0.4">
      <c r="A1380" s="38" t="s">
        <v>7390</v>
      </c>
      <c r="B1380" s="40" t="str">
        <f>IFERROR(INDEX(Mots!$B:$B,MATCH($A1380,Mots!$A:$A,0)),"introuvable")</f>
        <v>urgent</v>
      </c>
    </row>
    <row r="1381" spans="1:2" hidden="1" x14ac:dyDescent="0.4">
      <c r="A1381" s="38" t="s">
        <v>7393</v>
      </c>
      <c r="B1381" s="40" t="str">
        <f>IFERROR(INDEX(Mots!$B:$B,MATCH($A1381,Mots!$A:$A,0)),"introuvable")</f>
        <v>utile</v>
      </c>
    </row>
    <row r="1382" spans="1:2" hidden="1" x14ac:dyDescent="0.4">
      <c r="A1382" s="38" t="s">
        <v>7396</v>
      </c>
      <c r="B1382" s="40" t="str">
        <f>IFERROR(INDEX(Mots!$B:$B,MATCH($A1382,Mots!$A:$A,0)),"introuvable")</f>
        <v>velouté</v>
      </c>
    </row>
    <row r="1383" spans="1:2" hidden="1" x14ac:dyDescent="0.4">
      <c r="A1383" s="38" t="s">
        <v>7400</v>
      </c>
      <c r="B1383" s="40" t="str">
        <f>IFERROR(INDEX(Mots!$B:$B,MATCH($A1383,Mots!$A:$A,0)),"introuvable")</f>
        <v>vendre</v>
      </c>
    </row>
    <row r="1384" spans="1:2" hidden="1" x14ac:dyDescent="0.4">
      <c r="A1384" s="38" t="s">
        <v>7405</v>
      </c>
      <c r="B1384" s="40" t="str">
        <f>IFERROR(INDEX(Mots!$B:$B,MATCH($A1384,Mots!$A:$A,0)),"introuvable")</f>
        <v>venir</v>
      </c>
    </row>
    <row r="1385" spans="1:2" hidden="1" x14ac:dyDescent="0.4">
      <c r="A1385" s="38" t="s">
        <v>7413</v>
      </c>
      <c r="B1385" s="40" t="str">
        <f>IFERROR(INDEX(Mots!$B:$B,MATCH($A1385,Mots!$A:$A,0)),"introuvable")</f>
        <v>vif - vive</v>
      </c>
    </row>
    <row r="1386" spans="1:2" hidden="1" x14ac:dyDescent="0.4">
      <c r="A1386" s="38" t="s">
        <v>9629</v>
      </c>
      <c r="B1386" s="40" t="str">
        <f>IFERROR(INDEX(Mots!$B:$B,MATCH($A1386,Mots!$A:$A,0)),"introuvable")</f>
        <v>vite</v>
      </c>
    </row>
    <row r="1387" spans="1:2" hidden="1" x14ac:dyDescent="0.4">
      <c r="A1387" s="38" t="s">
        <v>7418</v>
      </c>
      <c r="B1387" s="40" t="str">
        <f>IFERROR(INDEX(Mots!$B:$B,MATCH($A1387,Mots!$A:$A,0)),"introuvable")</f>
        <v>vitré</v>
      </c>
    </row>
    <row r="1388" spans="1:2" hidden="1" x14ac:dyDescent="0.4">
      <c r="A1388" s="38" t="s">
        <v>7422</v>
      </c>
      <c r="B1388" s="40" t="str">
        <f>IFERROR(INDEX(Mots!$B:$B,MATCH($A1388,Mots!$A:$A,0)),"introuvable")</f>
        <v>vivant</v>
      </c>
    </row>
    <row r="1389" spans="1:2" hidden="1" x14ac:dyDescent="0.4">
      <c r="A1389" s="38" t="s">
        <v>7425</v>
      </c>
      <c r="B1389" s="40" t="str">
        <f>IFERROR(INDEX(Mots!$B:$B,MATCH($A1389,Mots!$A:$A,0)),"introuvable")</f>
        <v>voir</v>
      </c>
    </row>
    <row r="1390" spans="1:2" hidden="1" x14ac:dyDescent="0.4">
      <c r="A1390" s="38" t="s">
        <v>7432</v>
      </c>
      <c r="B1390" s="40" t="str">
        <f>IFERROR(INDEX(Mots!$B:$B,MATCH($A1390,Mots!$A:$A,0)),"introuvable")</f>
        <v>voler</v>
      </c>
    </row>
    <row r="1391" spans="1:2" hidden="1" x14ac:dyDescent="0.4">
      <c r="A1391" s="38" t="s">
        <v>7436</v>
      </c>
      <c r="B1391" s="40" t="str">
        <f>IFERROR(INDEX(Mots!$B:$B,MATCH($A1391,Mots!$A:$A,0)),"introuvable")</f>
        <v>vouloir</v>
      </c>
    </row>
    <row r="1392" spans="1:2" hidden="1" x14ac:dyDescent="0.4">
      <c r="A1392" s="38" t="s">
        <v>7442</v>
      </c>
      <c r="B1392" s="40" t="str">
        <f>IFERROR(INDEX(Mots!$B:$B,MATCH($A1392,Mots!$A:$A,0)),"introuvable")</f>
        <v>vraiment</v>
      </c>
    </row>
    <row r="1393" spans="1:5" hidden="1" x14ac:dyDescent="0.4">
      <c r="A1393" s="38" t="s">
        <v>7445</v>
      </c>
      <c r="B1393" s="40" t="str">
        <f>IFERROR(INDEX(Mots!$B:$B,MATCH($A1393,Mots!$A:$A,0)),"introuvable")</f>
        <v>zéro</v>
      </c>
    </row>
    <row r="1394" spans="1:5" hidden="1" x14ac:dyDescent="0.4">
      <c r="A1394" s="38" t="s">
        <v>7505</v>
      </c>
      <c r="B1394" s="40" t="str">
        <f>IFERROR(INDEX(Mots!$B:$B,MATCH($A1394,Mots!$A:$A,0)),"introuvable")</f>
        <v>l'appareil photo</v>
      </c>
    </row>
    <row r="1395" spans="1:5" hidden="1" x14ac:dyDescent="0.4">
      <c r="A1395" s="38" t="s">
        <v>7519</v>
      </c>
      <c r="B1395" s="40" t="str">
        <f>IFERROR(INDEX(Mots!$B:$B,MATCH($A1395,Mots!$A:$A,0)),"introuvable")</f>
        <v>le maïs</v>
      </c>
    </row>
    <row r="1396" spans="1:5" hidden="1" x14ac:dyDescent="0.4">
      <c r="A1396" s="38" t="s">
        <v>7527</v>
      </c>
      <c r="B1396" s="40" t="str">
        <f>IFERROR(INDEX(Mots!$B:$B,MATCH($A1396,Mots!$A:$A,0)),"introuvable")</f>
        <v>tousser</v>
      </c>
    </row>
    <row r="1397" spans="1:5" hidden="1" x14ac:dyDescent="0.4">
      <c r="A1397" s="38" t="s">
        <v>7560</v>
      </c>
      <c r="B1397" s="40" t="str">
        <f>IFERROR(INDEX(Mots!$B:$B,MATCH($A1397,Mots!$A:$A,0)),"introuvable")</f>
        <v>la coupe</v>
      </c>
    </row>
    <row r="1398" spans="1:5" hidden="1" x14ac:dyDescent="0.4">
      <c r="A1398" s="38" t="s">
        <v>7573</v>
      </c>
      <c r="B1398" s="40" t="str">
        <f>IFERROR(INDEX(Mots!$B:$B,MATCH($A1398,Mots!$A:$A,0)),"introuvable")</f>
        <v>arriver</v>
      </c>
    </row>
    <row r="1399" spans="1:5" hidden="1" x14ac:dyDescent="0.4">
      <c r="A1399" s="38" t="s">
        <v>7584</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7594</v>
      </c>
      <c r="B1401" s="40" t="str">
        <f>IFERROR(INDEX(Mots!$B:$B,MATCH($A1401,Mots!$A:$A,0)),"introuvable")</f>
        <v>le corps (humain)</v>
      </c>
    </row>
    <row r="1402" spans="1:5" hidden="1" x14ac:dyDescent="0.4">
      <c r="A1402" s="38" t="s">
        <v>7597</v>
      </c>
      <c r="B1402" s="40" t="str">
        <f>IFERROR(INDEX(Mots!$B:$B,MATCH($A1402,Mots!$A:$A,0)),"introuvable")</f>
        <v>habiter</v>
      </c>
    </row>
    <row r="1403" spans="1:5" hidden="1" x14ac:dyDescent="0.4">
      <c r="A1403" s="38" t="s">
        <v>7600</v>
      </c>
      <c r="B1403" s="40" t="str">
        <f>IFERROR(INDEX(Mots!$B:$B,MATCH($A1403,Mots!$A:$A,0)),"introuvable")</f>
        <v>éclairer</v>
      </c>
      <c r="C1403" s="38" t="s">
        <v>191</v>
      </c>
      <c r="D1403" s="38" t="s">
        <v>186</v>
      </c>
      <c r="E1403" s="38" t="s">
        <v>10108</v>
      </c>
    </row>
    <row r="1404" spans="1:5" hidden="1" x14ac:dyDescent="0.4">
      <c r="A1404" s="38" t="s">
        <v>249</v>
      </c>
      <c r="B1404" s="40" t="str">
        <f>IFERROR(INDEX(Mots!$B:$B,MATCH($A1404,Mots!$A:$A,0)),"introuvable")</f>
        <v>le souper</v>
      </c>
    </row>
    <row r="1405" spans="1:5" hidden="1" x14ac:dyDescent="0.4">
      <c r="A1405" s="38" t="s">
        <v>7605</v>
      </c>
      <c r="B1405" s="40" t="str">
        <f>IFERROR(INDEX(Mots!$B:$B,MATCH($A1405,Mots!$A:$A,0)),"introuvable")</f>
        <v>le pommier</v>
      </c>
    </row>
    <row r="1406" spans="1:5" hidden="1" x14ac:dyDescent="0.4">
      <c r="A1406" s="38" t="s">
        <v>7608</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7614</v>
      </c>
      <c r="B1409" s="40" t="str">
        <f>IFERROR(INDEX(Mots!$B:$B,MATCH($A1409,Mots!$A:$A,0)),"introuvable")</f>
        <v>conduire</v>
      </c>
    </row>
    <row r="1410" spans="1:4" hidden="1" x14ac:dyDescent="0.4">
      <c r="A1410" s="38" t="s">
        <v>7617</v>
      </c>
      <c r="B1410" s="40" t="str">
        <f>IFERROR(INDEX(Mots!$B:$B,MATCH($A1410,Mots!$A:$A,0)),"introuvable")</f>
        <v>un habit</v>
      </c>
      <c r="C1410" s="38" t="s">
        <v>196</v>
      </c>
    </row>
    <row r="1411" spans="1:4" hidden="1" x14ac:dyDescent="0.4">
      <c r="A1411" s="38" t="s">
        <v>7620</v>
      </c>
      <c r="B1411" s="40" t="str">
        <f>IFERROR(INDEX(Mots!$B:$B,MATCH($A1411,Mots!$A:$A,0)),"introuvable")</f>
        <v>traverser</v>
      </c>
    </row>
    <row r="1412" spans="1:4" hidden="1" x14ac:dyDescent="0.4">
      <c r="A1412" s="38" t="s">
        <v>7623</v>
      </c>
      <c r="B1412" s="40" t="str">
        <f>IFERROR(INDEX(Mots!$B:$B,MATCH($A1412,Mots!$A:$A,0)),"introuvable")</f>
        <v>avaler</v>
      </c>
    </row>
    <row r="1413" spans="1:4" hidden="1" x14ac:dyDescent="0.4">
      <c r="A1413" s="38" t="s">
        <v>7625</v>
      </c>
      <c r="B1413" s="40" t="str">
        <f>IFERROR(INDEX(Mots!$B:$B,MATCH($A1413,Mots!$A:$A,0)),"introuvable")</f>
        <v>le verre</v>
      </c>
    </row>
    <row r="1414" spans="1:4" hidden="1" x14ac:dyDescent="0.4">
      <c r="A1414" s="38" t="s">
        <v>7635</v>
      </c>
      <c r="B1414" s="40" t="str">
        <f>IFERROR(INDEX(Mots!$B:$B,MATCH($A1414,Mots!$A:$A,0)),"introuvable")</f>
        <v>chauffer</v>
      </c>
    </row>
    <row r="1415" spans="1:4" hidden="1" x14ac:dyDescent="0.4">
      <c r="A1415" s="38" t="s">
        <v>7639</v>
      </c>
      <c r="B1415" s="40" t="str">
        <f>IFERROR(INDEX(Mots!$B:$B,MATCH($A1415,Mots!$A:$A,0)),"introuvable")</f>
        <v>le parquet</v>
      </c>
      <c r="C1415" s="38" t="s">
        <v>196</v>
      </c>
    </row>
    <row r="1416" spans="1:4" hidden="1" x14ac:dyDescent="0.4">
      <c r="A1416" s="38" t="s">
        <v>7641</v>
      </c>
      <c r="B1416" s="40" t="str">
        <f>IFERROR(INDEX(Mots!$B:$B,MATCH($A1416,Mots!$A:$A,0)),"introuvable")</f>
        <v>ramper</v>
      </c>
    </row>
    <row r="1417" spans="1:4" hidden="1" x14ac:dyDescent="0.4">
      <c r="A1417" s="38" t="s">
        <v>7649</v>
      </c>
      <c r="B1417" s="40" t="str">
        <f>IFERROR(INDEX(Mots!$B:$B,MATCH($A1417,Mots!$A:$A,0)),"introuvable")</f>
        <v>l'aile</v>
      </c>
      <c r="C1417" s="38" t="s">
        <v>288</v>
      </c>
      <c r="D1417" s="38" t="s">
        <v>293</v>
      </c>
    </row>
    <row r="1418" spans="1:4" hidden="1" x14ac:dyDescent="0.4">
      <c r="A1418" s="38" t="s">
        <v>7657</v>
      </c>
      <c r="B1418" s="40" t="str">
        <f>IFERROR(INDEX(Mots!$B:$B,MATCH($A1418,Mots!$A:$A,0)),"introuvable")</f>
        <v>l'aile</v>
      </c>
    </row>
    <row r="1419" spans="1:4" hidden="1" x14ac:dyDescent="0.4">
      <c r="A1419" s="38" t="s">
        <v>7665</v>
      </c>
      <c r="B1419" s="40" t="str">
        <f>IFERROR(INDEX(Mots!$B:$B,MATCH($A1419,Mots!$A:$A,0)),"introuvable")</f>
        <v>le virage</v>
      </c>
    </row>
    <row r="1420" spans="1:4" hidden="1" x14ac:dyDescent="0.4">
      <c r="A1420" s="38" t="s">
        <v>9397</v>
      </c>
      <c r="B1420" s="40" t="str">
        <f>IFERROR(INDEX(Mots!$B:$B,MATCH($A1420,Mots!$A:$A,0)),"introuvable")</f>
        <v>skier</v>
      </c>
    </row>
    <row r="1421" spans="1:4" hidden="1" x14ac:dyDescent="0.4">
      <c r="A1421" s="38" t="s">
        <v>9410</v>
      </c>
      <c r="B1421" s="40" t="str">
        <f>IFERROR(INDEX(Mots!$B:$B,MATCH($A1421,Mots!$A:$A,0)),"introuvable")</f>
        <v>la feuille de papier</v>
      </c>
    </row>
    <row r="1422" spans="1:4" hidden="1" x14ac:dyDescent="0.4">
      <c r="A1422" s="38" t="s">
        <v>9432</v>
      </c>
      <c r="B1422" s="40" t="str">
        <f>IFERROR(INDEX(Mots!$B:$B,MATCH($A1422,Mots!$A:$A,0)),"introuvable")</f>
        <v>le clavier</v>
      </c>
      <c r="C1422" s="38" t="s">
        <v>3218</v>
      </c>
    </row>
    <row r="1423" spans="1:4" hidden="1" x14ac:dyDescent="0.4">
      <c r="A1423" s="38" t="s">
        <v>9451</v>
      </c>
      <c r="B1423" s="40" t="str">
        <f>IFERROR(INDEX(Mots!$B:$B,MATCH($A1423,Mots!$A:$A,0)),"introuvable")</f>
        <v>tourner</v>
      </c>
    </row>
    <row r="1424" spans="1:4" hidden="1" x14ac:dyDescent="0.4">
      <c r="A1424" s="38" t="s">
        <v>9456</v>
      </c>
      <c r="B1424" s="40" t="str">
        <f>IFERROR(INDEX(Mots!$B:$B,MATCH($A1424,Mots!$A:$A,0)),"introuvable")</f>
        <v>fort  ↔  doucement</v>
      </c>
    </row>
    <row r="1425" spans="1:3" hidden="1" x14ac:dyDescent="0.4">
      <c r="A1425" s="38" t="s">
        <v>7764</v>
      </c>
      <c r="B1425" s="40" t="str">
        <f>IFERROR(INDEX(Mots!$B:$B,MATCH($A1425,Mots!$A:$A,0)),"introuvable")</f>
        <v>la température</v>
      </c>
    </row>
    <row r="1426" spans="1:3" hidden="1" x14ac:dyDescent="0.4">
      <c r="A1426" s="38" t="s">
        <v>9462</v>
      </c>
      <c r="B1426" s="40" t="str">
        <f>IFERROR(INDEX(Mots!$B:$B,MATCH($A1426,Mots!$A:$A,0)),"introuvable")</f>
        <v>l'ambulance</v>
      </c>
      <c r="C1426" s="38" t="s">
        <v>264</v>
      </c>
    </row>
    <row r="1427" spans="1:3" hidden="1" x14ac:dyDescent="0.4">
      <c r="A1427" s="38" t="s">
        <v>9464</v>
      </c>
      <c r="B1427" s="40" t="str">
        <f>IFERROR(INDEX(Mots!$B:$B,MATCH($A1427,Mots!$A:$A,0)),"introuvable")</f>
        <v>respirer</v>
      </c>
    </row>
    <row r="1428" spans="1:3" hidden="1" x14ac:dyDescent="0.4">
      <c r="A1428" s="38" t="s">
        <v>9469</v>
      </c>
      <c r="B1428" s="40" t="str">
        <f>IFERROR(INDEX(Mots!$B:$B,MATCH($A1428,Mots!$A:$A,0)),"introuvable")</f>
        <v>mal</v>
      </c>
    </row>
    <row r="1429" spans="1:3" hidden="1" x14ac:dyDescent="0.4">
      <c r="A1429" s="38" t="s">
        <v>9480</v>
      </c>
      <c r="B1429" s="40" t="str">
        <f>IFERROR(INDEX(Mots!$B:$B,MATCH($A1429,Mots!$A:$A,0)),"introuvable")</f>
        <v>le cornichon</v>
      </c>
    </row>
    <row r="1430" spans="1:3" hidden="1" x14ac:dyDescent="0.4">
      <c r="A1430" s="38" t="s">
        <v>9483</v>
      </c>
      <c r="B1430" s="40" t="str">
        <f>IFERROR(INDEX(Mots!$B:$B,MATCH($A1430,Mots!$A:$A,0)),"introuvable")</f>
        <v>la tronçonneuse</v>
      </c>
    </row>
    <row r="1431" spans="1:3" hidden="1" x14ac:dyDescent="0.4">
      <c r="A1431" s="38" t="s">
        <v>9494</v>
      </c>
      <c r="B1431" s="40" t="str">
        <f>IFERROR(INDEX(Mots!$B:$B,MATCH($A1431,Mots!$A:$A,0)),"introuvable")</f>
        <v>le feu d'artifice</v>
      </c>
    </row>
    <row r="1432" spans="1:3" hidden="1" x14ac:dyDescent="0.4">
      <c r="A1432" s="38" t="s">
        <v>9513</v>
      </c>
      <c r="B1432" s="40" t="str">
        <f>IFERROR(INDEX(Mots!$B:$B,MATCH($A1432,Mots!$A:$A,0)),"introuvable")</f>
        <v>le tronc</v>
      </c>
      <c r="C1432" s="38" t="s">
        <v>9513</v>
      </c>
    </row>
    <row r="1433" spans="1:3" hidden="1" x14ac:dyDescent="0.4">
      <c r="A1433" s="38" t="s">
        <v>9517</v>
      </c>
      <c r="B1433" s="40" t="str">
        <f>IFERROR(INDEX(Mots!$B:$B,MATCH($A1433,Mots!$A:$A,0)),"introuvable")</f>
        <v>midi</v>
      </c>
    </row>
    <row r="1434" spans="1:3" hidden="1" x14ac:dyDescent="0.4">
      <c r="A1434" s="38" t="s">
        <v>7742</v>
      </c>
      <c r="B1434" s="40" t="str">
        <f>IFERROR(INDEX(Mots!$B:$B,MATCH($A1434,Mots!$A:$A,0)),"introuvable")</f>
        <v>boisson</v>
      </c>
    </row>
    <row r="1435" spans="1:3" hidden="1" x14ac:dyDescent="0.4">
      <c r="A1435" s="38" t="s">
        <v>9526</v>
      </c>
      <c r="B1435" s="40" t="str">
        <f>IFERROR(INDEX(Mots!$B:$B,MATCH($A1435,Mots!$A:$A,0)),"introuvable")</f>
        <v>le cinéma</v>
      </c>
    </row>
    <row r="1436" spans="1:3" hidden="1" x14ac:dyDescent="0.4">
      <c r="A1436" s="38" t="s">
        <v>9528</v>
      </c>
      <c r="B1436" s="40" t="str">
        <f>IFERROR(INDEX(Mots!$B:$B,MATCH($A1436,Mots!$A:$A,0)),"introuvable")</f>
        <v>le début</v>
      </c>
    </row>
    <row r="1437" spans="1:3" hidden="1" x14ac:dyDescent="0.4">
      <c r="A1437" s="38" t="s">
        <v>9531</v>
      </c>
      <c r="B1437" s="40" t="str">
        <f>IFERROR(INDEX(Mots!$B:$B,MATCH($A1437,Mots!$A:$A,0)),"introuvable")</f>
        <v>brûler</v>
      </c>
    </row>
    <row r="1438" spans="1:3" hidden="1" x14ac:dyDescent="0.4">
      <c r="A1438" s="38" t="s">
        <v>9536</v>
      </c>
      <c r="B1438" s="40" t="str">
        <f>IFERROR(INDEX(Mots!$B:$B,MATCH($A1438,Mots!$A:$A,0)),"introuvable")</f>
        <v>la sueur</v>
      </c>
    </row>
    <row r="1439" spans="1:3" hidden="1" x14ac:dyDescent="0.4">
      <c r="A1439" s="38" t="s">
        <v>9540</v>
      </c>
      <c r="B1439" s="40" t="str">
        <f>IFERROR(INDEX(Mots!$B:$B,MATCH($A1439,Mots!$A:$A,0)),"introuvable")</f>
        <v>le loyer</v>
      </c>
    </row>
    <row r="1440" spans="1:3" hidden="1" x14ac:dyDescent="0.4">
      <c r="A1440" s="38" t="s">
        <v>9558</v>
      </c>
      <c r="B1440" s="40" t="str">
        <f>IFERROR(INDEX(Mots!$B:$B,MATCH($A1440,Mots!$A:$A,0)),"introuvable")</f>
        <v>la pelle mécanique</v>
      </c>
    </row>
    <row r="1441" spans="1:2" hidden="1" x14ac:dyDescent="0.4">
      <c r="A1441" s="38" t="s">
        <v>9566</v>
      </c>
      <c r="B1441" s="40" t="str">
        <f>IFERROR(INDEX(Mots!$B:$B,MATCH($A1441,Mots!$A:$A,0)),"introuvable")</f>
        <v>le rouleau compresseur</v>
      </c>
    </row>
    <row r="1442" spans="1:2" hidden="1" x14ac:dyDescent="0.4">
      <c r="A1442" s="38" t="s">
        <v>9591</v>
      </c>
      <c r="B1442" s="40" t="str">
        <f>IFERROR(INDEX(Mots!$B:$B,MATCH($A1442,Mots!$A:$A,0)),"introuvable")</f>
        <v>l'heure</v>
      </c>
    </row>
    <row r="1443" spans="1:2" hidden="1" x14ac:dyDescent="0.4">
      <c r="A1443" s="38" t="s">
        <v>9654</v>
      </c>
      <c r="B1443" s="40" t="str">
        <f>IFERROR(INDEX(Mots!$B:$B,MATCH($A1443,Mots!$A:$A,0)),"introuvable")</f>
        <v>(s') essuyer</v>
      </c>
    </row>
    <row r="1444" spans="1:2" hidden="1" x14ac:dyDescent="0.4">
      <c r="A1444" s="38" t="s">
        <v>7709</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7695</v>
      </c>
      <c r="C1" s="9" t="s">
        <v>7696</v>
      </c>
      <c r="D1" s="9" t="s">
        <v>1</v>
      </c>
      <c r="E1" s="13" t="s">
        <v>7697</v>
      </c>
      <c r="F1" s="13" t="s">
        <v>7698</v>
      </c>
    </row>
    <row r="2" spans="1:6" x14ac:dyDescent="0.3">
      <c r="A2" s="8" t="s">
        <v>1434</v>
      </c>
      <c r="B2" s="8" t="s">
        <v>702</v>
      </c>
      <c r="C2" s="8" t="s">
        <v>7699</v>
      </c>
      <c r="D2" s="8">
        <v>1</v>
      </c>
    </row>
    <row r="3" spans="1:6" x14ac:dyDescent="0.3">
      <c r="A3" s="8" t="s">
        <v>1434</v>
      </c>
      <c r="B3" s="8" t="s">
        <v>2762</v>
      </c>
      <c r="C3" s="8" t="s">
        <v>7700</v>
      </c>
      <c r="D3" s="8">
        <v>2</v>
      </c>
    </row>
    <row r="4" spans="1:6" x14ac:dyDescent="0.3">
      <c r="A4" s="8" t="s">
        <v>1434</v>
      </c>
      <c r="B4" s="8" t="s">
        <v>3176</v>
      </c>
      <c r="C4" s="8" t="s">
        <v>7701</v>
      </c>
      <c r="D4" s="8">
        <v>3</v>
      </c>
    </row>
    <row r="5" spans="1:6" x14ac:dyDescent="0.3">
      <c r="A5" s="8" t="s">
        <v>1434</v>
      </c>
      <c r="B5" s="8" t="s">
        <v>817</v>
      </c>
      <c r="C5" s="8" t="s">
        <v>7702</v>
      </c>
      <c r="D5" s="8">
        <v>4</v>
      </c>
    </row>
    <row r="6" spans="1:6" x14ac:dyDescent="0.3">
      <c r="A6" s="8" t="s">
        <v>1434</v>
      </c>
      <c r="B6" s="8" t="s">
        <v>34</v>
      </c>
      <c r="C6" s="8" t="s">
        <v>7703</v>
      </c>
      <c r="D6" s="8">
        <v>5</v>
      </c>
    </row>
    <row r="7" spans="1:6" x14ac:dyDescent="0.3">
      <c r="A7" s="8" t="s">
        <v>1434</v>
      </c>
      <c r="B7" s="8" t="s">
        <v>3780</v>
      </c>
      <c r="C7" s="8" t="s">
        <v>7704</v>
      </c>
      <c r="D7" s="8">
        <v>6</v>
      </c>
    </row>
    <row r="8" spans="1:6" x14ac:dyDescent="0.3">
      <c r="A8" s="8" t="s">
        <v>1434</v>
      </c>
      <c r="B8" s="8" t="s">
        <v>82</v>
      </c>
      <c r="C8" s="8" t="s">
        <v>7705</v>
      </c>
      <c r="D8" s="8">
        <v>7</v>
      </c>
    </row>
    <row r="9" spans="1:6" x14ac:dyDescent="0.3">
      <c r="A9" s="8" t="s">
        <v>1434</v>
      </c>
      <c r="B9" s="8" t="s">
        <v>2846</v>
      </c>
      <c r="C9" s="8" t="s">
        <v>7706</v>
      </c>
      <c r="D9" s="8">
        <v>8</v>
      </c>
    </row>
    <row r="10" spans="1:6" x14ac:dyDescent="0.3">
      <c r="A10" s="8" t="s">
        <v>1434</v>
      </c>
      <c r="B10" s="8" t="s">
        <v>73</v>
      </c>
      <c r="C10" s="8" t="s">
        <v>7707</v>
      </c>
      <c r="D10" s="8">
        <v>9</v>
      </c>
    </row>
    <row r="11" spans="1:6" x14ac:dyDescent="0.3">
      <c r="A11" s="8" t="s">
        <v>1434</v>
      </c>
      <c r="B11" s="8" t="s">
        <v>5057</v>
      </c>
      <c r="C11" s="8" t="s">
        <v>7708</v>
      </c>
      <c r="D11" s="8">
        <v>10</v>
      </c>
    </row>
    <row r="12" spans="1:6" x14ac:dyDescent="0.3">
      <c r="A12" s="8" t="s">
        <v>1434</v>
      </c>
      <c r="B12" s="8" t="s">
        <v>7709</v>
      </c>
      <c r="C12" s="8" t="s">
        <v>7710</v>
      </c>
      <c r="D12" s="8">
        <v>11</v>
      </c>
    </row>
    <row r="13" spans="1:6" x14ac:dyDescent="0.3">
      <c r="A13" s="8" t="s">
        <v>3413</v>
      </c>
      <c r="B13" s="8" t="s">
        <v>7711</v>
      </c>
      <c r="C13" s="8" t="s">
        <v>7712</v>
      </c>
      <c r="D13" s="8">
        <v>1</v>
      </c>
    </row>
    <row r="14" spans="1:6" x14ac:dyDescent="0.3">
      <c r="A14" s="8" t="s">
        <v>3413</v>
      </c>
      <c r="B14" s="8" t="s">
        <v>7713</v>
      </c>
      <c r="C14" s="8" t="s">
        <v>7714</v>
      </c>
      <c r="D14" s="8">
        <v>2</v>
      </c>
    </row>
    <row r="15" spans="1:6" x14ac:dyDescent="0.3">
      <c r="A15" s="8" t="s">
        <v>3413</v>
      </c>
      <c r="B15" s="8" t="s">
        <v>6959</v>
      </c>
      <c r="C15" s="8" t="s">
        <v>7715</v>
      </c>
      <c r="D15" s="8">
        <v>3</v>
      </c>
    </row>
    <row r="16" spans="1:6" x14ac:dyDescent="0.3">
      <c r="A16" s="8" t="s">
        <v>3413</v>
      </c>
      <c r="B16" s="8" t="s">
        <v>7716</v>
      </c>
      <c r="C16" s="8" t="s">
        <v>7717</v>
      </c>
      <c r="D16" s="8">
        <v>4</v>
      </c>
    </row>
    <row r="17" spans="1:6" x14ac:dyDescent="0.3">
      <c r="A17" s="8" t="s">
        <v>3413</v>
      </c>
      <c r="B17" s="8" t="s">
        <v>7718</v>
      </c>
      <c r="C17" s="8" t="s">
        <v>7719</v>
      </c>
      <c r="D17" s="8">
        <v>5</v>
      </c>
    </row>
    <row r="18" spans="1:6" x14ac:dyDescent="0.3">
      <c r="A18" s="8" t="s">
        <v>3413</v>
      </c>
      <c r="B18" s="8" t="s">
        <v>7720</v>
      </c>
      <c r="C18" s="8" t="s">
        <v>7721</v>
      </c>
      <c r="D18" s="8">
        <v>6</v>
      </c>
    </row>
    <row r="19" spans="1:6" x14ac:dyDescent="0.3">
      <c r="A19" s="8" t="s">
        <v>3413</v>
      </c>
      <c r="B19" s="8" t="s">
        <v>7375</v>
      </c>
      <c r="C19" s="8" t="s">
        <v>7722</v>
      </c>
      <c r="D19" s="8">
        <v>7</v>
      </c>
    </row>
    <row r="20" spans="1:6" x14ac:dyDescent="0.3">
      <c r="A20" s="8" t="s">
        <v>3413</v>
      </c>
      <c r="B20" s="8" t="s">
        <v>7723</v>
      </c>
      <c r="C20" s="8" t="s">
        <v>7724</v>
      </c>
      <c r="D20" s="8">
        <v>8</v>
      </c>
    </row>
    <row r="21" spans="1:6" x14ac:dyDescent="0.3">
      <c r="A21" s="8" t="s">
        <v>3413</v>
      </c>
      <c r="B21" s="8" t="s">
        <v>7725</v>
      </c>
      <c r="C21" s="8" t="s">
        <v>7726</v>
      </c>
      <c r="D21" s="8">
        <v>9</v>
      </c>
    </row>
    <row r="22" spans="1:6" x14ac:dyDescent="0.3">
      <c r="A22" s="8" t="s">
        <v>3413</v>
      </c>
      <c r="B22" s="8" t="s">
        <v>7727</v>
      </c>
      <c r="C22" s="8" t="s">
        <v>7728</v>
      </c>
      <c r="D22" s="8">
        <v>10</v>
      </c>
    </row>
    <row r="23" spans="1:6" x14ac:dyDescent="0.3">
      <c r="A23" s="8" t="s">
        <v>3413</v>
      </c>
      <c r="B23" s="8" t="s">
        <v>7729</v>
      </c>
      <c r="C23" s="8" t="s">
        <v>7730</v>
      </c>
      <c r="D23" s="8">
        <v>11</v>
      </c>
    </row>
    <row r="24" spans="1:6" x14ac:dyDescent="0.3">
      <c r="A24" s="8" t="s">
        <v>5091</v>
      </c>
      <c r="B24" s="8" t="s">
        <v>7731</v>
      </c>
      <c r="C24" s="8" t="s">
        <v>7732</v>
      </c>
      <c r="D24" s="8">
        <v>1</v>
      </c>
    </row>
    <row r="25" spans="1:6" x14ac:dyDescent="0.3">
      <c r="A25" s="8" t="s">
        <v>5091</v>
      </c>
      <c r="B25" s="8" t="s">
        <v>7733</v>
      </c>
      <c r="C25" s="8" t="s">
        <v>7734</v>
      </c>
      <c r="D25" s="8">
        <v>2</v>
      </c>
    </row>
    <row r="26" spans="1:6" x14ac:dyDescent="0.3">
      <c r="A26" s="8" t="s">
        <v>5091</v>
      </c>
      <c r="B26" s="8" t="s">
        <v>828</v>
      </c>
      <c r="C26" s="8" t="s">
        <v>7735</v>
      </c>
      <c r="D26" s="8">
        <v>3</v>
      </c>
      <c r="E26" s="15" t="s">
        <v>828</v>
      </c>
      <c r="F26" s="12" t="str">
        <f>IFERROR(INDEX(Mots!$B:$B,MATCH($E26,Mots!$A:$A,0)),"introuvable")</f>
        <v>le meuble</v>
      </c>
    </row>
    <row r="27" spans="1:6" x14ac:dyDescent="0.3">
      <c r="A27" s="8" t="s">
        <v>5091</v>
      </c>
      <c r="B27" s="8" t="s">
        <v>6884</v>
      </c>
      <c r="C27" s="8" t="s">
        <v>7736</v>
      </c>
      <c r="D27" s="8">
        <v>4</v>
      </c>
      <c r="E27" s="15" t="s">
        <v>6884</v>
      </c>
      <c r="F27" s="12" t="str">
        <f>IFERROR(INDEX(Mots!$B:$B,MATCH($E27,Mots!$A:$A,0)),"introuvable")</f>
        <v>l'outil</v>
      </c>
    </row>
    <row r="28" spans="1:6" x14ac:dyDescent="0.3">
      <c r="A28" s="8" t="s">
        <v>5091</v>
      </c>
      <c r="B28" s="8" t="s">
        <v>5288</v>
      </c>
      <c r="C28" s="8" t="s">
        <v>7737</v>
      </c>
      <c r="D28" s="8">
        <v>5</v>
      </c>
      <c r="E28" s="15" t="s">
        <v>5288</v>
      </c>
      <c r="F28" s="12" t="str">
        <f>IFERROR(INDEX(Mots!$B:$B,MATCH($E28,Mots!$A:$A,0)),"introuvable")</f>
        <v>l'appareil</v>
      </c>
    </row>
    <row r="29" spans="1:6" x14ac:dyDescent="0.3">
      <c r="A29" s="8" t="s">
        <v>5091</v>
      </c>
      <c r="B29" s="8" t="s">
        <v>6216</v>
      </c>
      <c r="C29" s="8" t="s">
        <v>7738</v>
      </c>
      <c r="D29" s="8">
        <v>6</v>
      </c>
      <c r="E29" s="15" t="s">
        <v>6216</v>
      </c>
      <c r="F29" s="12" t="str">
        <f>IFERROR(INDEX(Mots!$B:$B,MATCH($E29,Mots!$A:$A,0)),"introuvable")</f>
        <v>le récipient</v>
      </c>
    </row>
    <row r="30" spans="1:6" x14ac:dyDescent="0.3">
      <c r="A30" s="8" t="s">
        <v>5091</v>
      </c>
      <c r="B30" s="8" t="s">
        <v>6572</v>
      </c>
      <c r="C30" s="8" t="s">
        <v>7739</v>
      </c>
      <c r="D30" s="8">
        <v>7</v>
      </c>
      <c r="E30" s="15" t="s">
        <v>7617</v>
      </c>
      <c r="F30" s="12" t="str">
        <f>IFERROR(INDEX(Mots!$B:$B,MATCH($E30,Mots!$A:$A,0)),"introuvable")</f>
        <v>un habit</v>
      </c>
    </row>
    <row r="31" spans="1:6" x14ac:dyDescent="0.3">
      <c r="A31" s="8" t="s">
        <v>5091</v>
      </c>
      <c r="B31" s="8" t="s">
        <v>7740</v>
      </c>
      <c r="C31" s="8" t="s">
        <v>7741</v>
      </c>
      <c r="D31" s="8">
        <v>8</v>
      </c>
      <c r="E31" s="15" t="s">
        <v>23</v>
      </c>
      <c r="F31" s="12" t="str">
        <f>IFERROR(INDEX(Mots!$B:$B,MATCH($E31,Mots!$A:$A,0)),"introuvable")</f>
        <v>la nourriture</v>
      </c>
    </row>
    <row r="32" spans="1:6" x14ac:dyDescent="0.3">
      <c r="A32" s="8" t="s">
        <v>5091</v>
      </c>
      <c r="B32" s="8" t="s">
        <v>7742</v>
      </c>
      <c r="C32" s="8" t="s">
        <v>7743</v>
      </c>
      <c r="D32" s="8">
        <v>9</v>
      </c>
    </row>
    <row r="33" spans="1:6" x14ac:dyDescent="0.3">
      <c r="A33" s="8" t="s">
        <v>5091</v>
      </c>
      <c r="B33" s="8" t="s">
        <v>5388</v>
      </c>
      <c r="C33" s="8" t="s">
        <v>7744</v>
      </c>
      <c r="D33" s="8">
        <v>10</v>
      </c>
      <c r="E33" s="15" t="s">
        <v>5388</v>
      </c>
      <c r="F33" s="12" t="str">
        <f>IFERROR(INDEX(Mots!$B:$B,MATCH($E33,Mots!$A:$A,0)),"introuvable")</f>
        <v>le bâtiment</v>
      </c>
    </row>
    <row r="34" spans="1:6" x14ac:dyDescent="0.3">
      <c r="A34" s="8" t="s">
        <v>5091</v>
      </c>
      <c r="B34" s="8" t="s">
        <v>1169</v>
      </c>
      <c r="C34" s="8" t="s">
        <v>7745</v>
      </c>
      <c r="D34" s="8">
        <v>11</v>
      </c>
      <c r="E34" s="15" t="s">
        <v>1169</v>
      </c>
      <c r="F34" s="12" t="str">
        <f>IFERROR(INDEX(Mots!$B:$B,MATCH($E34,Mots!$A:$A,0)),"introuvable")</f>
        <v>animal</v>
      </c>
    </row>
    <row r="35" spans="1:6" x14ac:dyDescent="0.3">
      <c r="A35" s="8" t="s">
        <v>5091</v>
      </c>
      <c r="B35" s="8" t="s">
        <v>2811</v>
      </c>
      <c r="C35" s="8" t="s">
        <v>7746</v>
      </c>
      <c r="D35" s="8">
        <v>12</v>
      </c>
      <c r="E35" s="15" t="s">
        <v>2811</v>
      </c>
      <c r="F35" s="12" t="str">
        <f>IFERROR(INDEX(Mots!$B:$B,MATCH($E35,Mots!$A:$A,0)),"introuvable")</f>
        <v>la plante</v>
      </c>
    </row>
    <row r="36" spans="1:6" x14ac:dyDescent="0.3">
      <c r="A36" s="8" t="s">
        <v>5091</v>
      </c>
      <c r="B36" s="8" t="s">
        <v>5791</v>
      </c>
      <c r="C36" s="8" t="s">
        <v>7747</v>
      </c>
      <c r="D36" s="8">
        <v>13</v>
      </c>
      <c r="E36" s="15" t="s">
        <v>5791</v>
      </c>
      <c r="F36" s="12" t="str">
        <f>IFERROR(INDEX(Mots!$B:$B,MATCH($E36,Mots!$A:$A,0)),"introuvable")</f>
        <v>le document</v>
      </c>
    </row>
    <row r="37" spans="1:6" x14ac:dyDescent="0.3">
      <c r="A37" s="8" t="s">
        <v>5091</v>
      </c>
      <c r="B37" s="8" t="s">
        <v>4645</v>
      </c>
      <c r="C37" s="8" t="s">
        <v>7748</v>
      </c>
      <c r="D37" s="8">
        <v>14</v>
      </c>
      <c r="E37" s="15" t="s">
        <v>4645</v>
      </c>
      <c r="F37" s="12" t="str">
        <f>IFERROR(INDEX(Mots!$B:$B,MATCH($E37,Mots!$A:$A,0)),"introuvable")</f>
        <v>la matière</v>
      </c>
    </row>
    <row r="38" spans="1:6" x14ac:dyDescent="0.3">
      <c r="A38" s="8" t="s">
        <v>5091</v>
      </c>
      <c r="B38" s="8" t="s">
        <v>7749</v>
      </c>
      <c r="C38" s="8" t="s">
        <v>7750</v>
      </c>
      <c r="D38" s="8">
        <v>15</v>
      </c>
    </row>
    <row r="39" spans="1:6" x14ac:dyDescent="0.3">
      <c r="A39" s="8" t="s">
        <v>5091</v>
      </c>
      <c r="B39" s="8" t="s">
        <v>6831</v>
      </c>
      <c r="C39" s="8" t="s">
        <v>7751</v>
      </c>
      <c r="D39" s="8">
        <v>16</v>
      </c>
      <c r="E39" s="15" t="s">
        <v>6831</v>
      </c>
      <c r="F39" s="12" t="str">
        <f>IFERROR(INDEX(Mots!$B:$B,MATCH($E39,Mots!$A:$A,0)),"introuvable")</f>
        <v>l'objet</v>
      </c>
    </row>
    <row r="40" spans="1:6" x14ac:dyDescent="0.3">
      <c r="A40" s="8" t="s">
        <v>3413</v>
      </c>
      <c r="B40" s="8" t="s">
        <v>7752</v>
      </c>
      <c r="C40" s="8" t="s">
        <v>7753</v>
      </c>
      <c r="D40" s="8">
        <v>12</v>
      </c>
    </row>
    <row r="41" spans="1:6" x14ac:dyDescent="0.3">
      <c r="A41" s="8" t="s">
        <v>3413</v>
      </c>
      <c r="B41" s="8" t="s">
        <v>7027</v>
      </c>
      <c r="C41" s="8" t="s">
        <v>7754</v>
      </c>
      <c r="D41" s="8">
        <v>13</v>
      </c>
    </row>
    <row r="42" spans="1:6" x14ac:dyDescent="0.3">
      <c r="A42" s="8" t="s">
        <v>3413</v>
      </c>
      <c r="B42" s="8" t="s">
        <v>7755</v>
      </c>
      <c r="C42" s="8" t="s">
        <v>7756</v>
      </c>
      <c r="D42" s="8">
        <v>14</v>
      </c>
    </row>
    <row r="43" spans="1:6" x14ac:dyDescent="0.3">
      <c r="A43" s="8" t="s">
        <v>3413</v>
      </c>
      <c r="B43" s="8" t="s">
        <v>7757</v>
      </c>
      <c r="C43" s="8" t="s">
        <v>7758</v>
      </c>
      <c r="D43" s="8">
        <v>15</v>
      </c>
    </row>
    <row r="44" spans="1:6" x14ac:dyDescent="0.3">
      <c r="A44" s="8" t="s">
        <v>3413</v>
      </c>
      <c r="B44" s="8" t="s">
        <v>3435</v>
      </c>
      <c r="C44" s="8" t="s">
        <v>7759</v>
      </c>
      <c r="D44" s="8">
        <v>16</v>
      </c>
    </row>
    <row r="45" spans="1:6" x14ac:dyDescent="0.3">
      <c r="A45" s="8" t="s">
        <v>4952</v>
      </c>
      <c r="B45" s="8" t="s">
        <v>2321</v>
      </c>
      <c r="C45" s="8" t="s">
        <v>7760</v>
      </c>
      <c r="D45" s="8">
        <v>1</v>
      </c>
    </row>
    <row r="46" spans="1:6" x14ac:dyDescent="0.3">
      <c r="A46" s="8" t="s">
        <v>4952</v>
      </c>
      <c r="B46" s="8" t="s">
        <v>7761</v>
      </c>
      <c r="C46" s="8" t="s">
        <v>7762</v>
      </c>
      <c r="D46" s="8">
        <v>2</v>
      </c>
    </row>
    <row r="47" spans="1:6" x14ac:dyDescent="0.3">
      <c r="A47" s="8" t="s">
        <v>4952</v>
      </c>
      <c r="B47" s="8" t="s">
        <v>4445</v>
      </c>
      <c r="C47" s="8" t="s">
        <v>7763</v>
      </c>
      <c r="D47" s="8">
        <v>3</v>
      </c>
    </row>
    <row r="48" spans="1:6" x14ac:dyDescent="0.3">
      <c r="A48" s="8" t="s">
        <v>4952</v>
      </c>
      <c r="B48" s="8" t="s">
        <v>7764</v>
      </c>
      <c r="C48" s="8" t="s">
        <v>7765</v>
      </c>
      <c r="D48" s="8">
        <v>4</v>
      </c>
    </row>
    <row r="49" spans="1:4" x14ac:dyDescent="0.3">
      <c r="A49" s="8" t="s">
        <v>4952</v>
      </c>
      <c r="B49" s="8" t="s">
        <v>7359</v>
      </c>
      <c r="C49" s="8" t="s">
        <v>7766</v>
      </c>
      <c r="D49" s="8">
        <v>5</v>
      </c>
    </row>
    <row r="50" spans="1:4" x14ac:dyDescent="0.3">
      <c r="A50" s="8" t="s">
        <v>4952</v>
      </c>
      <c r="B50" s="8" t="s">
        <v>5843</v>
      </c>
      <c r="C50" s="8" t="s">
        <v>7767</v>
      </c>
      <c r="D50" s="8">
        <v>6</v>
      </c>
    </row>
    <row r="51" spans="1:4" x14ac:dyDescent="0.3">
      <c r="A51" s="8" t="s">
        <v>4952</v>
      </c>
      <c r="B51" s="8" t="s">
        <v>7768</v>
      </c>
      <c r="C51" s="8" t="s">
        <v>7769</v>
      </c>
      <c r="D51" s="8">
        <v>7</v>
      </c>
    </row>
    <row r="52" spans="1:4" x14ac:dyDescent="0.3">
      <c r="A52" s="8" t="s">
        <v>4952</v>
      </c>
      <c r="B52" s="8" t="s">
        <v>7770</v>
      </c>
      <c r="C52" s="8" t="s">
        <v>7771</v>
      </c>
      <c r="D52" s="8">
        <v>8</v>
      </c>
    </row>
    <row r="53" spans="1:4" x14ac:dyDescent="0.3">
      <c r="A53" s="8" t="s">
        <v>4952</v>
      </c>
      <c r="B53" s="8" t="s">
        <v>7772</v>
      </c>
      <c r="C53" s="8" t="s">
        <v>7773</v>
      </c>
      <c r="D53" s="8">
        <v>9</v>
      </c>
    </row>
    <row r="54" spans="1:4" x14ac:dyDescent="0.3">
      <c r="A54" s="8" t="s">
        <v>4952</v>
      </c>
      <c r="B54" s="8" t="s">
        <v>7774</v>
      </c>
      <c r="C54" s="8" t="s">
        <v>7775</v>
      </c>
      <c r="D54" s="8">
        <v>10</v>
      </c>
    </row>
    <row r="55" spans="1:4" x14ac:dyDescent="0.3">
      <c r="A55" s="8" t="s">
        <v>4952</v>
      </c>
      <c r="B55" s="8" t="s">
        <v>7776</v>
      </c>
      <c r="C55" s="8" t="s">
        <v>7777</v>
      </c>
      <c r="D55" s="8">
        <v>11</v>
      </c>
    </row>
    <row r="56" spans="1:4" x14ac:dyDescent="0.3">
      <c r="A56" s="8" t="s">
        <v>4952</v>
      </c>
      <c r="B56" s="8" t="s">
        <v>3020</v>
      </c>
      <c r="C56" s="8" t="s">
        <v>7778</v>
      </c>
      <c r="D56" s="8">
        <v>12</v>
      </c>
    </row>
    <row r="57" spans="1:4" x14ac:dyDescent="0.3">
      <c r="A57" s="8" t="s">
        <v>4952</v>
      </c>
      <c r="B57" s="8" t="s">
        <v>6198</v>
      </c>
      <c r="C57" s="8" t="s">
        <v>6199</v>
      </c>
      <c r="D57" s="8">
        <v>13</v>
      </c>
    </row>
    <row r="58" spans="1:4" x14ac:dyDescent="0.3">
      <c r="A58" s="8" t="s">
        <v>4952</v>
      </c>
      <c r="B58" s="8" t="s">
        <v>7779</v>
      </c>
      <c r="C58" s="8" t="s">
        <v>7780</v>
      </c>
      <c r="D58" s="8">
        <v>14</v>
      </c>
    </row>
    <row r="59" spans="1:4" x14ac:dyDescent="0.3">
      <c r="A59" s="8" t="s">
        <v>458</v>
      </c>
      <c r="B59" s="8" t="s">
        <v>29</v>
      </c>
      <c r="C59" s="8" t="s">
        <v>7781</v>
      </c>
      <c r="D59" s="8">
        <v>1</v>
      </c>
    </row>
    <row r="60" spans="1:4" x14ac:dyDescent="0.3">
      <c r="A60" s="8" t="s">
        <v>458</v>
      </c>
      <c r="B60" s="8" t="s">
        <v>7782</v>
      </c>
      <c r="C60" s="8" t="s">
        <v>7783</v>
      </c>
      <c r="D60" s="8">
        <v>2</v>
      </c>
    </row>
    <row r="61" spans="1:4" x14ac:dyDescent="0.3">
      <c r="A61" s="8" t="s">
        <v>458</v>
      </c>
      <c r="B61" s="8" t="s">
        <v>5057</v>
      </c>
      <c r="C61" s="8" t="s">
        <v>7784</v>
      </c>
      <c r="D61" s="8">
        <v>3</v>
      </c>
    </row>
    <row r="62" spans="1:4" x14ac:dyDescent="0.3">
      <c r="A62" s="8" t="s">
        <v>458</v>
      </c>
      <c r="B62" s="8" t="s">
        <v>7785</v>
      </c>
      <c r="C62" s="8" t="s">
        <v>7786</v>
      </c>
      <c r="D62" s="8">
        <v>4</v>
      </c>
    </row>
    <row r="63" spans="1:4" x14ac:dyDescent="0.3">
      <c r="A63" s="8" t="s">
        <v>7787</v>
      </c>
      <c r="B63" s="8" t="s">
        <v>7788</v>
      </c>
      <c r="C63" s="8" t="s">
        <v>7789</v>
      </c>
      <c r="D63" s="8">
        <v>1</v>
      </c>
    </row>
    <row r="64" spans="1:4" x14ac:dyDescent="0.3">
      <c r="A64" s="8" t="s">
        <v>7787</v>
      </c>
      <c r="B64" s="8" t="s">
        <v>7790</v>
      </c>
      <c r="C64" s="8" t="s">
        <v>3430</v>
      </c>
      <c r="D64" s="8">
        <v>2</v>
      </c>
    </row>
    <row r="65" spans="1:4" x14ac:dyDescent="0.3">
      <c r="A65" s="8" t="s">
        <v>7791</v>
      </c>
      <c r="B65" s="8" t="s">
        <v>46</v>
      </c>
      <c r="C65" s="8" t="s">
        <v>7750</v>
      </c>
      <c r="D65" s="8">
        <v>1</v>
      </c>
    </row>
    <row r="66" spans="1:4" x14ac:dyDescent="0.3">
      <c r="A66" s="8" t="s">
        <v>7791</v>
      </c>
      <c r="B66" s="8" t="s">
        <v>2846</v>
      </c>
      <c r="C66" s="8" t="s">
        <v>7792</v>
      </c>
      <c r="D66" s="8">
        <v>2</v>
      </c>
    </row>
    <row r="67" spans="1:4" x14ac:dyDescent="0.3">
      <c r="A67" s="8" t="s">
        <v>7791</v>
      </c>
      <c r="B67" s="8" t="s">
        <v>34</v>
      </c>
      <c r="C67" s="8" t="s">
        <v>7793</v>
      </c>
      <c r="D67" s="8">
        <v>3</v>
      </c>
    </row>
    <row r="68" spans="1:4" x14ac:dyDescent="0.3">
      <c r="A68" s="8" t="s">
        <v>7791</v>
      </c>
      <c r="B68" s="8" t="s">
        <v>2811</v>
      </c>
      <c r="C68" s="8" t="s">
        <v>7794</v>
      </c>
      <c r="D68" s="8">
        <v>4</v>
      </c>
    </row>
    <row r="69" spans="1:4" x14ac:dyDescent="0.3">
      <c r="A69" s="8" t="s">
        <v>7791</v>
      </c>
      <c r="B69" s="8" t="s">
        <v>6572</v>
      </c>
      <c r="C69" s="8" t="s">
        <v>7795</v>
      </c>
      <c r="D69" s="8">
        <v>5</v>
      </c>
    </row>
    <row r="70" spans="1:4" x14ac:dyDescent="0.3">
      <c r="A70" s="8" t="s">
        <v>7791</v>
      </c>
      <c r="B70" s="8" t="s">
        <v>7731</v>
      </c>
      <c r="C70" s="8" t="s">
        <v>7796</v>
      </c>
      <c r="D70" s="8">
        <v>6</v>
      </c>
    </row>
    <row r="71" spans="1:4" x14ac:dyDescent="0.3">
      <c r="A71" s="8" t="s">
        <v>7791</v>
      </c>
      <c r="B71" s="8" t="s">
        <v>1169</v>
      </c>
      <c r="C71" s="8" t="s">
        <v>7797</v>
      </c>
      <c r="D71" s="8">
        <v>7</v>
      </c>
    </row>
    <row r="72" spans="1:4" x14ac:dyDescent="0.3">
      <c r="A72" s="8" t="s">
        <v>7798</v>
      </c>
      <c r="B72" s="8" t="s">
        <v>7799</v>
      </c>
      <c r="C72" s="8" t="s">
        <v>7800</v>
      </c>
      <c r="D72" s="8">
        <v>1</v>
      </c>
    </row>
    <row r="73" spans="1:4" x14ac:dyDescent="0.3">
      <c r="A73" s="8" t="s">
        <v>7798</v>
      </c>
      <c r="B73" s="8" t="s">
        <v>7764</v>
      </c>
      <c r="C73" s="8" t="s">
        <v>7801</v>
      </c>
      <c r="D73" s="8">
        <v>2</v>
      </c>
    </row>
    <row r="74" spans="1:4" x14ac:dyDescent="0.3">
      <c r="A74" s="8" t="s">
        <v>7798</v>
      </c>
      <c r="B74" s="8" t="s">
        <v>7802</v>
      </c>
      <c r="C74" s="8" t="s">
        <v>7803</v>
      </c>
      <c r="D74" s="8">
        <v>3</v>
      </c>
    </row>
    <row r="75" spans="1:4" x14ac:dyDescent="0.3">
      <c r="A75" s="8" t="s">
        <v>7798</v>
      </c>
      <c r="B75" s="8" t="s">
        <v>4365</v>
      </c>
      <c r="C75" s="8" t="s">
        <v>4366</v>
      </c>
      <c r="D75" s="8">
        <v>4</v>
      </c>
    </row>
    <row r="76" spans="1:4" x14ac:dyDescent="0.3">
      <c r="A76" s="8" t="s">
        <v>7798</v>
      </c>
      <c r="B76" s="8" t="s">
        <v>1829</v>
      </c>
      <c r="C76" s="8" t="s">
        <v>1830</v>
      </c>
      <c r="D76" s="8">
        <v>5</v>
      </c>
    </row>
    <row r="77" spans="1:4" x14ac:dyDescent="0.3">
      <c r="A77" s="8" t="s">
        <v>7798</v>
      </c>
      <c r="B77" s="8" t="s">
        <v>6023</v>
      </c>
      <c r="C77" s="8" t="s">
        <v>7804</v>
      </c>
      <c r="D77" s="8">
        <v>6</v>
      </c>
    </row>
    <row r="78" spans="1:4" x14ac:dyDescent="0.3">
      <c r="A78" s="8" t="s">
        <v>7798</v>
      </c>
      <c r="B78" s="8" t="s">
        <v>4956</v>
      </c>
      <c r="C78" s="8" t="s">
        <v>4957</v>
      </c>
      <c r="D78" s="8">
        <v>7</v>
      </c>
    </row>
    <row r="79" spans="1:4" x14ac:dyDescent="0.3">
      <c r="A79" s="8" t="s">
        <v>7798</v>
      </c>
      <c r="B79" s="8" t="s">
        <v>3020</v>
      </c>
      <c r="C79" s="8" t="s">
        <v>3021</v>
      </c>
      <c r="D79" s="8">
        <v>8</v>
      </c>
    </row>
    <row r="80" spans="1:4" x14ac:dyDescent="0.3">
      <c r="A80" s="8" t="s">
        <v>7798</v>
      </c>
      <c r="B80" s="8" t="s">
        <v>7805</v>
      </c>
      <c r="C80" s="8" t="s">
        <v>7806</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7690</v>
      </c>
      <c r="B1" s="11" t="s">
        <v>7691</v>
      </c>
      <c r="C1" s="11" t="s">
        <v>7807</v>
      </c>
      <c r="D1" s="11" t="s">
        <v>7808</v>
      </c>
      <c r="E1" s="11" t="s">
        <v>7809</v>
      </c>
      <c r="F1" s="11" t="s">
        <v>7810</v>
      </c>
      <c r="G1" s="11" t="s">
        <v>7811</v>
      </c>
      <c r="H1" s="11" t="s">
        <v>7812</v>
      </c>
      <c r="I1" s="11" t="s">
        <v>7813</v>
      </c>
      <c r="J1" s="11" t="s">
        <v>7814</v>
      </c>
      <c r="K1" s="11" t="s">
        <v>7815</v>
      </c>
      <c r="L1" s="11" t="s">
        <v>7816</v>
      </c>
      <c r="M1" s="11" t="s">
        <v>7817</v>
      </c>
      <c r="N1" s="11" t="s">
        <v>7818</v>
      </c>
      <c r="O1" s="11" t="s">
        <v>7819</v>
      </c>
      <c r="P1" s="11" t="s">
        <v>7820</v>
      </c>
      <c r="Q1" s="11" t="s">
        <v>7821</v>
      </c>
      <c r="R1" s="11" t="s">
        <v>7822</v>
      </c>
      <c r="S1" s="11" t="s">
        <v>7823</v>
      </c>
      <c r="T1" s="11" t="s">
        <v>7824</v>
      </c>
      <c r="U1" s="11" t="s">
        <v>7825</v>
      </c>
      <c r="V1" s="11" t="s">
        <v>7826</v>
      </c>
      <c r="W1" s="11" t="s">
        <v>7827</v>
      </c>
      <c r="X1" s="11" t="s">
        <v>7828</v>
      </c>
      <c r="Y1" s="11" t="s">
        <v>7829</v>
      </c>
      <c r="Z1" s="11" t="s">
        <v>7830</v>
      </c>
      <c r="AA1" s="11" t="s">
        <v>7831</v>
      </c>
      <c r="AB1" s="11" t="s">
        <v>7832</v>
      </c>
    </row>
    <row r="2" spans="1:28" x14ac:dyDescent="0.3">
      <c r="A2" s="15" t="s">
        <v>410</v>
      </c>
      <c r="B2" s="12" t="str">
        <f>IFERROR(INDEX(Mots!$B:$B,MATCH($A2,Mots!$A:$A,0)),"introuvable")</f>
        <v>le sandwich</v>
      </c>
      <c r="I2" s="15" t="s">
        <v>702</v>
      </c>
      <c r="N2" s="15" t="s">
        <v>7711</v>
      </c>
    </row>
    <row r="3" spans="1:28" x14ac:dyDescent="0.3">
      <c r="A3" s="15" t="s">
        <v>416</v>
      </c>
      <c r="B3" s="12" t="str">
        <f>IFERROR(INDEX(Mots!$B:$B,MATCH($A3,Mots!$A:$A,0)),"introuvable")</f>
        <v>la lettre</v>
      </c>
      <c r="I3" s="15" t="s">
        <v>73</v>
      </c>
      <c r="N3" s="15" t="s">
        <v>7375</v>
      </c>
    </row>
    <row r="4" spans="1:28" x14ac:dyDescent="0.3">
      <c r="A4" s="15" t="s">
        <v>421</v>
      </c>
      <c r="B4" s="12" t="str">
        <f>IFERROR(INDEX(Mots!$B:$B,MATCH($A4,Mots!$A:$A,0)),"introuvable")</f>
        <v>la réunion</v>
      </c>
      <c r="I4" s="15" t="s">
        <v>73</v>
      </c>
      <c r="N4" s="15" t="s">
        <v>7375</v>
      </c>
    </row>
    <row r="5" spans="1:28" x14ac:dyDescent="0.3">
      <c r="A5" s="15" t="s">
        <v>426</v>
      </c>
      <c r="B5" s="12" t="str">
        <f>IFERROR(INDEX(Mots!$B:$B,MATCH($A5,Mots!$A:$A,0)),"introuvable")</f>
        <v>le bureau (meuble)</v>
      </c>
      <c r="C5" s="15" t="s">
        <v>828</v>
      </c>
      <c r="I5" s="15" t="s">
        <v>73</v>
      </c>
      <c r="N5" s="15" t="s">
        <v>7375</v>
      </c>
    </row>
    <row r="6" spans="1:28" x14ac:dyDescent="0.3">
      <c r="A6" s="15" t="s">
        <v>434</v>
      </c>
      <c r="B6" s="12" t="str">
        <f>IFERROR(INDEX(Mots!$B:$B,MATCH($A6,Mots!$A:$A,0)),"introuvable")</f>
        <v>le rapport</v>
      </c>
      <c r="I6" s="15" t="s">
        <v>73</v>
      </c>
      <c r="N6" s="15" t="s">
        <v>7375</v>
      </c>
    </row>
    <row r="7" spans="1:28" x14ac:dyDescent="0.3">
      <c r="A7" s="15" t="s">
        <v>438</v>
      </c>
      <c r="B7" s="12" t="str">
        <f>IFERROR(INDEX(Mots!$B:$B,MATCH($A7,Mots!$A:$A,0)),"introuvable")</f>
        <v>l'entreprise</v>
      </c>
      <c r="I7" s="15" t="s">
        <v>73</v>
      </c>
      <c r="N7" s="15" t="s">
        <v>7375</v>
      </c>
    </row>
    <row r="8" spans="1:28" x14ac:dyDescent="0.3">
      <c r="A8" s="15" t="s">
        <v>446</v>
      </c>
      <c r="B8" s="12" t="str">
        <f>IFERROR(INDEX(Mots!$B:$B,MATCH($A8,Mots!$A:$A,0)),"introuvable")</f>
        <v>l'équipe</v>
      </c>
      <c r="I8" s="15" t="s">
        <v>73</v>
      </c>
      <c r="N8" s="15" t="s">
        <v>7375</v>
      </c>
    </row>
    <row r="9" spans="1:28" x14ac:dyDescent="0.3">
      <c r="A9" s="15" t="s">
        <v>29</v>
      </c>
      <c r="B9" s="12" t="str">
        <f>IFERROR(INDEX(Mots!$B:$B,MATCH($A9,Mots!$A:$A,0)),"introuvable")</f>
        <v>la famille</v>
      </c>
      <c r="W9" s="15" t="s">
        <v>29</v>
      </c>
      <c r="X9" s="15" t="s">
        <v>7785</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5288</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6884</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7709</v>
      </c>
      <c r="N31" s="15" t="s">
        <v>7723</v>
      </c>
    </row>
    <row r="32" spans="1:23" x14ac:dyDescent="0.3">
      <c r="A32" s="15" t="s">
        <v>9683</v>
      </c>
      <c r="B32" s="12" t="str">
        <f>IFERROR(INDEX(Mots!$B:$B,MATCH($A32,Mots!$A:$A,0)),"introuvable")</f>
        <v>le défilé - le concours de marche</v>
      </c>
      <c r="I32" s="15" t="s">
        <v>7709</v>
      </c>
      <c r="N32" s="15" t="s">
        <v>7723</v>
      </c>
    </row>
    <row r="33" spans="1:14" x14ac:dyDescent="0.3">
      <c r="A33" s="15" t="s">
        <v>591</v>
      </c>
      <c r="B33" s="12" t="str">
        <f>IFERROR(INDEX(Mots!$B:$B,MATCH($A33,Mots!$A:$A,0)),"introuvable")</f>
        <v>l'ASM</v>
      </c>
      <c r="I33" s="15" t="s">
        <v>7709</v>
      </c>
      <c r="N33" s="15" t="s">
        <v>7723</v>
      </c>
    </row>
    <row r="34" spans="1:14" x14ac:dyDescent="0.3">
      <c r="A34" s="15" t="s">
        <v>595</v>
      </c>
      <c r="B34" s="12" t="str">
        <f>IFERROR(INDEX(Mots!$B:$B,MATCH($A34,Mots!$A:$A,0)),"introuvable")</f>
        <v>l'ACMV</v>
      </c>
      <c r="I34" s="15" t="s">
        <v>7709</v>
      </c>
      <c r="N34" s="15" t="s">
        <v>7723</v>
      </c>
    </row>
    <row r="35" spans="1:14" x14ac:dyDescent="0.3">
      <c r="A35" s="15" t="s">
        <v>599</v>
      </c>
      <c r="B35" s="12" t="str">
        <f>IFERROR(INDEX(Mots!$B:$B,MATCH($A35,Mots!$A:$A,0)),"introuvable")</f>
        <v>la FMVC</v>
      </c>
      <c r="I35" s="15" t="s">
        <v>7709</v>
      </c>
      <c r="N35" s="15" t="s">
        <v>7723</v>
      </c>
    </row>
    <row r="36" spans="1:14" x14ac:dyDescent="0.3">
      <c r="A36" s="15" t="s">
        <v>603</v>
      </c>
      <c r="B36" s="12" t="str">
        <f>IFERROR(INDEX(Mots!$B:$B,MATCH($A36,Mots!$A:$A,0)),"introuvable")</f>
        <v>Yvan Maistre</v>
      </c>
      <c r="I36" s="15" t="s">
        <v>7709</v>
      </c>
      <c r="N36" s="15" t="s">
        <v>7723</v>
      </c>
    </row>
    <row r="37" spans="1:14" x14ac:dyDescent="0.3">
      <c r="A37" s="15" t="s">
        <v>607</v>
      </c>
      <c r="B37" s="12" t="str">
        <f>IFERROR(INDEX(Mots!$B:$B,MATCH($A37,Mots!$A:$A,0)),"introuvable")</f>
        <v>la baguette</v>
      </c>
      <c r="I37" s="15" t="s">
        <v>7709</v>
      </c>
      <c r="N37" s="15" t="s">
        <v>7723</v>
      </c>
    </row>
    <row r="38" spans="1:14" x14ac:dyDescent="0.3">
      <c r="A38" s="15" t="s">
        <v>611</v>
      </c>
      <c r="B38" s="12" t="str">
        <f>IFERROR(INDEX(Mots!$B:$B,MATCH($A38,Mots!$A:$A,0)),"introuvable")</f>
        <v>la chanson</v>
      </c>
      <c r="I38" s="15" t="s">
        <v>7709</v>
      </c>
      <c r="N38" s="15" t="s">
        <v>7723</v>
      </c>
    </row>
    <row r="39" spans="1:14" x14ac:dyDescent="0.3">
      <c r="A39" s="15" t="s">
        <v>615</v>
      </c>
      <c r="B39" s="12" t="str">
        <f>IFERROR(INDEX(Mots!$B:$B,MATCH($A39,Mots!$A:$A,0)),"introuvable")</f>
        <v>la chorale</v>
      </c>
      <c r="I39" s="15" t="s">
        <v>7709</v>
      </c>
      <c r="N39" s="15" t="s">
        <v>7723</v>
      </c>
    </row>
    <row r="40" spans="1:14" x14ac:dyDescent="0.3">
      <c r="A40" s="15" t="s">
        <v>618</v>
      </c>
      <c r="B40" s="12" t="str">
        <f>IFERROR(INDEX(Mots!$B:$B,MATCH($A40,Mots!$A:$A,0)),"introuvable")</f>
        <v>la danse</v>
      </c>
      <c r="I40" s="15" t="s">
        <v>7709</v>
      </c>
      <c r="N40" s="15" t="s">
        <v>7723</v>
      </c>
    </row>
    <row r="41" spans="1:14" x14ac:dyDescent="0.3">
      <c r="A41" s="15" t="s">
        <v>622</v>
      </c>
      <c r="B41" s="12" t="str">
        <f>IFERROR(INDEX(Mots!$B:$B,MATCH($A41,Mots!$A:$A,0)),"introuvable")</f>
        <v>la mélodie</v>
      </c>
      <c r="I41" s="15" t="s">
        <v>7709</v>
      </c>
      <c r="N41" s="15" t="s">
        <v>7723</v>
      </c>
    </row>
    <row r="42" spans="1:14" x14ac:dyDescent="0.3">
      <c r="A42" s="15" t="s">
        <v>626</v>
      </c>
      <c r="B42" s="12" t="str">
        <f>IFERROR(INDEX(Mots!$B:$B,MATCH($A42,Mots!$A:$A,0)),"introuvable")</f>
        <v>la partition</v>
      </c>
      <c r="I42" s="15" t="s">
        <v>7709</v>
      </c>
      <c r="N42" s="15" t="s">
        <v>7723</v>
      </c>
    </row>
    <row r="43" spans="1:14" x14ac:dyDescent="0.3">
      <c r="A43" s="15" t="s">
        <v>630</v>
      </c>
      <c r="B43" s="12" t="str">
        <f>IFERROR(INDEX(Mots!$B:$B,MATCH($A43,Mots!$A:$A,0)),"introuvable")</f>
        <v>la répétition</v>
      </c>
      <c r="I43" s="15" t="s">
        <v>7709</v>
      </c>
      <c r="N43" s="15" t="s">
        <v>7723</v>
      </c>
    </row>
    <row r="44" spans="1:14" x14ac:dyDescent="0.3">
      <c r="A44" s="15" t="s">
        <v>634</v>
      </c>
      <c r="B44" s="12" t="str">
        <f>IFERROR(INDEX(Mots!$B:$B,MATCH($A44,Mots!$A:$A,0)),"introuvable")</f>
        <v>la scène</v>
      </c>
      <c r="I44" s="15" t="s">
        <v>7709</v>
      </c>
      <c r="N44" s="15" t="s">
        <v>7723</v>
      </c>
    </row>
    <row r="45" spans="1:14" x14ac:dyDescent="0.3">
      <c r="A45" s="15" t="s">
        <v>638</v>
      </c>
      <c r="B45" s="12" t="str">
        <f>IFERROR(INDEX(Mots!$B:$B,MATCH($A45,Mots!$A:$A,0)),"introuvable")</f>
        <v>le directeur</v>
      </c>
      <c r="I45" s="15" t="s">
        <v>7709</v>
      </c>
      <c r="N45" s="15" t="s">
        <v>7723</v>
      </c>
    </row>
    <row r="46" spans="1:14" x14ac:dyDescent="0.3">
      <c r="A46" s="15" t="s">
        <v>642</v>
      </c>
      <c r="B46" s="12" t="str">
        <f>IFERROR(INDEX(Mots!$B:$B,MATCH($A46,Mots!$A:$A,0)),"introuvable")</f>
        <v>le concert</v>
      </c>
      <c r="I46" s="15" t="s">
        <v>7709</v>
      </c>
      <c r="N46" s="15" t="s">
        <v>7723</v>
      </c>
    </row>
    <row r="47" spans="1:14" x14ac:dyDescent="0.3">
      <c r="A47" s="15" t="s">
        <v>666</v>
      </c>
      <c r="B47" s="12" t="str">
        <f>IFERROR(INDEX(Mots!$B:$B,MATCH($A47,Mots!$A:$A,0)),"introuvable")</f>
        <v>le public</v>
      </c>
      <c r="I47" s="15" t="s">
        <v>7709</v>
      </c>
      <c r="N47" s="15" t="s">
        <v>7723</v>
      </c>
    </row>
    <row r="48" spans="1:14" x14ac:dyDescent="0.3">
      <c r="A48" s="15" t="s">
        <v>670</v>
      </c>
      <c r="B48" s="12" t="str">
        <f>IFERROR(INDEX(Mots!$B:$B,MATCH($A48,Mots!$A:$A,0)),"introuvable")</f>
        <v>le son</v>
      </c>
      <c r="I48" s="15" t="s">
        <v>7709</v>
      </c>
      <c r="N48" s="15" t="s">
        <v>7723</v>
      </c>
    </row>
    <row r="49" spans="1:14" x14ac:dyDescent="0.3">
      <c r="A49" s="15" t="s">
        <v>674</v>
      </c>
      <c r="B49" s="12" t="str">
        <f>IFERROR(INDEX(Mots!$B:$B,MATCH($A49,Mots!$A:$A,0)),"introuvable")</f>
        <v>le souffle</v>
      </c>
      <c r="I49" s="15" t="s">
        <v>7709</v>
      </c>
      <c r="N49" s="15" t="s">
        <v>7723</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7709</v>
      </c>
      <c r="N51" s="15" t="s">
        <v>7723</v>
      </c>
    </row>
    <row r="52" spans="1:14" x14ac:dyDescent="0.3">
      <c r="A52" s="15" t="s">
        <v>690</v>
      </c>
      <c r="B52" s="12" t="str">
        <f>IFERROR(INDEX(Mots!$B:$B,MATCH($A52,Mots!$A:$A,0)),"introuvable")</f>
        <v>les paroles</v>
      </c>
      <c r="N52" s="15" t="s">
        <v>7752</v>
      </c>
    </row>
    <row r="53" spans="1:14" x14ac:dyDescent="0.3">
      <c r="A53" s="15" t="s">
        <v>695</v>
      </c>
      <c r="B53" s="12" t="str">
        <f>IFERROR(INDEX(Mots!$B:$B,MATCH($A53,Mots!$A:$A,0)),"introuvable")</f>
        <v>l'harmonie</v>
      </c>
      <c r="I53" s="15" t="s">
        <v>7709</v>
      </c>
      <c r="N53" s="15" t="s">
        <v>7723</v>
      </c>
    </row>
    <row r="54" spans="1:14" x14ac:dyDescent="0.3">
      <c r="A54" s="15" t="s">
        <v>702</v>
      </c>
      <c r="B54" s="12" t="str">
        <f>IFERROR(INDEX(Mots!$B:$B,MATCH($A54,Mots!$A:$A,0)),"introuvable")</f>
        <v>la cuisine</v>
      </c>
      <c r="E54" s="15" t="s">
        <v>34</v>
      </c>
      <c r="I54" s="15" t="s">
        <v>702</v>
      </c>
      <c r="N54" s="15" t="s">
        <v>7713</v>
      </c>
    </row>
    <row r="55" spans="1:14" x14ac:dyDescent="0.3">
      <c r="A55" s="15" t="s">
        <v>705</v>
      </c>
      <c r="B55" s="12" t="str">
        <f>IFERROR(INDEX(Mots!$B:$B,MATCH($A55,Mots!$A:$A,0)),"introuvable")</f>
        <v>le frigo</v>
      </c>
      <c r="C55" s="15" t="s">
        <v>5288</v>
      </c>
      <c r="I55" s="15" t="s">
        <v>702</v>
      </c>
      <c r="N55" s="15" t="s">
        <v>7713</v>
      </c>
    </row>
    <row r="56" spans="1:14" x14ac:dyDescent="0.3">
      <c r="A56" s="15" t="s">
        <v>710</v>
      </c>
      <c r="B56" s="12" t="str">
        <f>IFERROR(INDEX(Mots!$B:$B,MATCH($A56,Mots!$A:$A,0)),"introuvable")</f>
        <v>le lave-vaisselle</v>
      </c>
      <c r="C56" s="15" t="s">
        <v>5288</v>
      </c>
      <c r="I56" s="15" t="s">
        <v>702</v>
      </c>
      <c r="N56" s="15" t="s">
        <v>7713</v>
      </c>
    </row>
    <row r="57" spans="1:14" x14ac:dyDescent="0.3">
      <c r="A57" s="15" t="s">
        <v>713</v>
      </c>
      <c r="B57" s="12" t="str">
        <f>IFERROR(INDEX(Mots!$B:$B,MATCH($A57,Mots!$A:$A,0)),"introuvable")</f>
        <v>le four</v>
      </c>
      <c r="C57" s="15" t="s">
        <v>5288</v>
      </c>
      <c r="I57" s="15" t="s">
        <v>702</v>
      </c>
      <c r="N57" s="15" t="s">
        <v>7713</v>
      </c>
    </row>
    <row r="58" spans="1:14" x14ac:dyDescent="0.3">
      <c r="A58" s="15" t="s">
        <v>717</v>
      </c>
      <c r="B58" s="12" t="str">
        <f>IFERROR(INDEX(Mots!$B:$B,MATCH($A58,Mots!$A:$A,0)),"introuvable")</f>
        <v>le micro onde</v>
      </c>
      <c r="C58" s="15" t="s">
        <v>5288</v>
      </c>
      <c r="I58" s="15" t="s">
        <v>702</v>
      </c>
      <c r="N58" s="15" t="s">
        <v>7713</v>
      </c>
    </row>
    <row r="59" spans="1:14" x14ac:dyDescent="0.3">
      <c r="A59" s="15" t="s">
        <v>724</v>
      </c>
      <c r="B59" s="12" t="str">
        <f>IFERROR(INDEX(Mots!$B:$B,MATCH($A59,Mots!$A:$A,0)),"introuvable")</f>
        <v>la cuisinière vitroceram</v>
      </c>
      <c r="C59" s="15" t="s">
        <v>5288</v>
      </c>
      <c r="I59" s="15" t="s">
        <v>702</v>
      </c>
      <c r="N59" s="15" t="s">
        <v>7713</v>
      </c>
    </row>
    <row r="60" spans="1:14" x14ac:dyDescent="0.3">
      <c r="A60" s="15" t="s">
        <v>728</v>
      </c>
      <c r="B60" s="12" t="str">
        <f>IFERROR(INDEX(Mots!$B:$B,MATCH($A60,Mots!$A:$A,0)),"introuvable")</f>
        <v>la machine à café</v>
      </c>
      <c r="C60" s="15" t="s">
        <v>5288</v>
      </c>
      <c r="I60" s="15" t="s">
        <v>702</v>
      </c>
      <c r="N60" s="15" t="s">
        <v>7713</v>
      </c>
    </row>
    <row r="61" spans="1:14" x14ac:dyDescent="0.3">
      <c r="A61" s="15" t="s">
        <v>733</v>
      </c>
      <c r="B61" s="12" t="str">
        <f>IFERROR(INDEX(Mots!$B:$B,MATCH($A61,Mots!$A:$A,0)),"introuvable")</f>
        <v>le verre</v>
      </c>
      <c r="C61" s="15" t="s">
        <v>6216</v>
      </c>
      <c r="I61" s="15" t="s">
        <v>702</v>
      </c>
      <c r="N61" s="15" t="s">
        <v>7713</v>
      </c>
    </row>
    <row r="62" spans="1:14" x14ac:dyDescent="0.3">
      <c r="A62" s="15" t="s">
        <v>737</v>
      </c>
      <c r="B62" s="12" t="str">
        <f>IFERROR(INDEX(Mots!$B:$B,MATCH($A62,Mots!$A:$A,0)),"introuvable")</f>
        <v>la tasse</v>
      </c>
      <c r="C62" s="15" t="s">
        <v>6216</v>
      </c>
      <c r="I62" s="15" t="s">
        <v>702</v>
      </c>
      <c r="N62" s="15" t="s">
        <v>7713</v>
      </c>
    </row>
    <row r="63" spans="1:14" x14ac:dyDescent="0.3">
      <c r="A63" s="8" t="s">
        <v>9631</v>
      </c>
      <c r="B63" s="12" t="str">
        <f>IFERROR(INDEX(Mots!$B:$B,MATCH($A63,Mots!$A:$A,0)),"introuvable")</f>
        <v>la bouteille</v>
      </c>
      <c r="I63" s="15" t="s">
        <v>702</v>
      </c>
      <c r="N63" s="15" t="s">
        <v>7713</v>
      </c>
    </row>
    <row r="64" spans="1:14" x14ac:dyDescent="0.3">
      <c r="A64" s="15" t="s">
        <v>9472</v>
      </c>
      <c r="B64" s="12" t="str">
        <f>IFERROR(INDEX(Mots!$B:$B,MATCH($A64,Mots!$A:$A,0)),"introuvable")</f>
        <v>le pot ou la mesure</v>
      </c>
      <c r="C64" s="15" t="s">
        <v>6216</v>
      </c>
      <c r="I64" s="15" t="s">
        <v>702</v>
      </c>
      <c r="N64" s="15" t="s">
        <v>7713</v>
      </c>
    </row>
    <row r="65" spans="1:14" x14ac:dyDescent="0.3">
      <c r="A65" s="15" t="s">
        <v>746</v>
      </c>
      <c r="B65" s="12" t="str">
        <f>IFERROR(INDEX(Mots!$B:$B,MATCH($A65,Mots!$A:$A,0)),"introuvable")</f>
        <v>l'assiette</v>
      </c>
      <c r="C65" s="15" t="s">
        <v>6216</v>
      </c>
      <c r="I65" s="15" t="s">
        <v>702</v>
      </c>
      <c r="N65" s="15" t="s">
        <v>7713</v>
      </c>
    </row>
    <row r="66" spans="1:14" x14ac:dyDescent="0.3">
      <c r="A66" s="15" t="s">
        <v>750</v>
      </c>
      <c r="B66" s="12" t="str">
        <f>IFERROR(INDEX(Mots!$B:$B,MATCH($A66,Mots!$A:$A,0)),"introuvable")</f>
        <v>la fourchette</v>
      </c>
      <c r="C66" s="15" t="s">
        <v>7740</v>
      </c>
      <c r="I66" s="15" t="s">
        <v>702</v>
      </c>
      <c r="N66" s="15" t="s">
        <v>7713</v>
      </c>
    </row>
    <row r="67" spans="1:14" x14ac:dyDescent="0.3">
      <c r="A67" s="15" t="s">
        <v>753</v>
      </c>
      <c r="B67" s="12" t="str">
        <f>IFERROR(INDEX(Mots!$B:$B,MATCH($A67,Mots!$A:$A,0)),"introuvable")</f>
        <v>la cuillère</v>
      </c>
      <c r="I67" s="15" t="s">
        <v>702</v>
      </c>
      <c r="N67" s="15" t="s">
        <v>7713</v>
      </c>
    </row>
    <row r="68" spans="1:14" x14ac:dyDescent="0.3">
      <c r="A68" s="15" t="s">
        <v>756</v>
      </c>
      <c r="B68" s="12" t="str">
        <f>IFERROR(INDEX(Mots!$B:$B,MATCH($A68,Mots!$A:$A,0)),"introuvable")</f>
        <v>le couteau</v>
      </c>
      <c r="I68" s="15" t="s">
        <v>702</v>
      </c>
      <c r="N68" s="15" t="s">
        <v>7713</v>
      </c>
    </row>
    <row r="69" spans="1:14" x14ac:dyDescent="0.3">
      <c r="A69" s="15" t="s">
        <v>760</v>
      </c>
      <c r="B69" s="12" t="str">
        <f>IFERROR(INDEX(Mots!$B:$B,MATCH($A69,Mots!$A:$A,0)),"introuvable")</f>
        <v>la casserole</v>
      </c>
      <c r="C69" s="15" t="s">
        <v>6216</v>
      </c>
      <c r="I69" s="15" t="s">
        <v>702</v>
      </c>
      <c r="N69" s="15" t="s">
        <v>7713</v>
      </c>
    </row>
    <row r="70" spans="1:14" x14ac:dyDescent="0.3">
      <c r="A70" s="15" t="s">
        <v>10035</v>
      </c>
      <c r="B70" s="12" t="str">
        <f>IFERROR(INDEX(Mots!$B:$B,MATCH($A70,Mots!$A:$A,0)),"introuvable")</f>
        <v>la marmite</v>
      </c>
      <c r="C70" s="15" t="s">
        <v>6216</v>
      </c>
      <c r="I70" s="15" t="s">
        <v>702</v>
      </c>
      <c r="N70" s="15" t="s">
        <v>7713</v>
      </c>
    </row>
    <row r="71" spans="1:14" x14ac:dyDescent="0.3">
      <c r="A71" s="15" t="s">
        <v>764</v>
      </c>
      <c r="B71" s="12" t="str">
        <f>IFERROR(INDEX(Mots!$B:$B,MATCH($A71,Mots!$A:$A,0)),"introuvable")</f>
        <v>la poêle</v>
      </c>
      <c r="C71" s="15" t="s">
        <v>6216</v>
      </c>
      <c r="I71" s="15" t="s">
        <v>702</v>
      </c>
      <c r="N71" s="15" t="s">
        <v>7713</v>
      </c>
    </row>
    <row r="72" spans="1:14" x14ac:dyDescent="0.3">
      <c r="A72" s="15" t="s">
        <v>767</v>
      </c>
      <c r="B72" s="12" t="str">
        <f>IFERROR(INDEX(Mots!$B:$B,MATCH($A72,Mots!$A:$A,0)),"introuvable")</f>
        <v>l'évier ou la plonge</v>
      </c>
      <c r="I72" s="15" t="s">
        <v>702</v>
      </c>
      <c r="N72" s="15" t="s">
        <v>7713</v>
      </c>
    </row>
    <row r="73" spans="1:14" x14ac:dyDescent="0.3">
      <c r="A73" s="15" t="s">
        <v>771</v>
      </c>
      <c r="B73" s="12" t="str">
        <f>IFERROR(INDEX(Mots!$B:$B,MATCH($A73,Mots!$A:$A,0)),"introuvable")</f>
        <v>le caquelon et le réchaud</v>
      </c>
      <c r="C73" s="15" t="s">
        <v>6216</v>
      </c>
      <c r="I73" s="15" t="s">
        <v>702</v>
      </c>
      <c r="N73" s="15" t="s">
        <v>7713</v>
      </c>
    </row>
    <row r="74" spans="1:14" x14ac:dyDescent="0.3">
      <c r="A74" s="15" t="s">
        <v>775</v>
      </c>
      <c r="B74" s="12" t="str">
        <f>IFERROR(INDEX(Mots!$B:$B,MATCH($A74,Mots!$A:$A,0)),"introuvable")</f>
        <v>la grille à raclette</v>
      </c>
      <c r="C74" s="15" t="s">
        <v>5288</v>
      </c>
      <c r="I74" s="15" t="s">
        <v>702</v>
      </c>
      <c r="N74" s="15" t="s">
        <v>7713</v>
      </c>
    </row>
    <row r="75" spans="1:14" x14ac:dyDescent="0.3">
      <c r="A75" s="15" t="s">
        <v>779</v>
      </c>
      <c r="B75" s="12" t="str">
        <f>IFERROR(INDEX(Mots!$B:$B,MATCH($A75,Mots!$A:$A,0)),"introuvable")</f>
        <v>le robinet</v>
      </c>
      <c r="C75" s="15" t="s">
        <v>5288</v>
      </c>
      <c r="I75" s="15" t="s">
        <v>702</v>
      </c>
      <c r="N75" s="15" t="s">
        <v>7713</v>
      </c>
    </row>
    <row r="76" spans="1:14" x14ac:dyDescent="0.3">
      <c r="A76" s="15" t="s">
        <v>782</v>
      </c>
      <c r="B76" s="12" t="str">
        <f>IFERROR(INDEX(Mots!$B:$B,MATCH($A76,Mots!$A:$A,0)),"introuvable")</f>
        <v>la table</v>
      </c>
      <c r="C76" s="15" t="s">
        <v>828</v>
      </c>
      <c r="I76" s="15" t="s">
        <v>702</v>
      </c>
      <c r="N76" s="15" t="s">
        <v>7713</v>
      </c>
    </row>
    <row r="77" spans="1:14" x14ac:dyDescent="0.3">
      <c r="A77" s="15" t="s">
        <v>786</v>
      </c>
      <c r="B77" s="12" t="str">
        <f>IFERROR(INDEX(Mots!$B:$B,MATCH($A77,Mots!$A:$A,0)),"introuvable")</f>
        <v>la chaise</v>
      </c>
      <c r="I77" s="15" t="s">
        <v>702</v>
      </c>
      <c r="N77" s="15" t="s">
        <v>7713</v>
      </c>
    </row>
    <row r="78" spans="1:14" x14ac:dyDescent="0.3">
      <c r="A78" s="15" t="s">
        <v>791</v>
      </c>
      <c r="B78" s="12" t="str">
        <f>IFERROR(INDEX(Mots!$B:$B,MATCH($A78,Mots!$A:$A,0)),"introuvable")</f>
        <v>le buffet</v>
      </c>
      <c r="C78" s="15" t="s">
        <v>828</v>
      </c>
      <c r="I78" s="15" t="s">
        <v>702</v>
      </c>
      <c r="N78" s="15" t="s">
        <v>7713</v>
      </c>
    </row>
    <row r="79" spans="1:14" x14ac:dyDescent="0.3">
      <c r="A79" s="15" t="s">
        <v>794</v>
      </c>
      <c r="B79" s="12" t="str">
        <f>IFERROR(INDEX(Mots!$B:$B,MATCH($A79,Mots!$A:$A,0)),"introuvable")</f>
        <v>la vaisselle</v>
      </c>
      <c r="I79" s="15" t="s">
        <v>702</v>
      </c>
      <c r="N79" s="15" t="s">
        <v>7713</v>
      </c>
    </row>
    <row r="80" spans="1:14" x14ac:dyDescent="0.3">
      <c r="A80" s="15" t="s">
        <v>798</v>
      </c>
      <c r="B80" s="12" t="str">
        <f>IFERROR(INDEX(Mots!$B:$B,MATCH($A80,Mots!$A:$A,0)),"introuvable")</f>
        <v>le dossier</v>
      </c>
      <c r="I80" s="15" t="s">
        <v>73</v>
      </c>
      <c r="N80" s="15" t="s">
        <v>7375</v>
      </c>
    </row>
    <row r="81" spans="1:14" x14ac:dyDescent="0.3">
      <c r="A81" s="15" t="s">
        <v>802</v>
      </c>
      <c r="B81" s="12" t="str">
        <f>IFERROR(INDEX(Mots!$B:$B,MATCH($A81,Mots!$A:$A,0)),"introuvable")</f>
        <v>le lave-linge</v>
      </c>
      <c r="C81" s="15" t="s">
        <v>5288</v>
      </c>
      <c r="I81" s="15" t="s">
        <v>2762</v>
      </c>
      <c r="N81" s="15" t="s">
        <v>6959</v>
      </c>
    </row>
    <row r="82" spans="1:14" x14ac:dyDescent="0.3">
      <c r="A82" s="15" t="s">
        <v>808</v>
      </c>
      <c r="B82" s="12" t="str">
        <f>IFERROR(INDEX(Mots!$B:$B,MATCH($A82,Mots!$A:$A,0)),"introuvable")</f>
        <v>le sèche-linge</v>
      </c>
      <c r="C82" s="15" t="s">
        <v>5288</v>
      </c>
      <c r="I82" s="15" t="s">
        <v>2762</v>
      </c>
      <c r="N82" s="15" t="s">
        <v>6959</v>
      </c>
    </row>
    <row r="83" spans="1:14" x14ac:dyDescent="0.3">
      <c r="A83" s="15" t="s">
        <v>812</v>
      </c>
      <c r="B83" s="12" t="str">
        <f>IFERROR(INDEX(Mots!$B:$B,MATCH($A83,Mots!$A:$A,0)),"introuvable")</f>
        <v>le fer à repasser</v>
      </c>
      <c r="C83" s="15" t="s">
        <v>5288</v>
      </c>
      <c r="I83" s="15" t="s">
        <v>2762</v>
      </c>
      <c r="N83" s="15" t="s">
        <v>6959</v>
      </c>
    </row>
    <row r="84" spans="1:14" x14ac:dyDescent="0.3">
      <c r="A84" s="15" t="s">
        <v>817</v>
      </c>
      <c r="B84" s="12" t="str">
        <f>IFERROR(INDEX(Mots!$B:$B,MATCH($A84,Mots!$A:$A,0)),"introuvable")</f>
        <v>le salon</v>
      </c>
      <c r="I84" s="15" t="s">
        <v>817</v>
      </c>
      <c r="N84" s="15" t="s">
        <v>7727</v>
      </c>
    </row>
    <row r="85" spans="1:14" x14ac:dyDescent="0.3">
      <c r="A85" s="15" t="s">
        <v>820</v>
      </c>
      <c r="B85" s="12" t="str">
        <f>IFERROR(INDEX(Mots!$B:$B,MATCH($A85,Mots!$A:$A,0)),"introuvable")</f>
        <v>le canapé</v>
      </c>
      <c r="I85" s="15" t="s">
        <v>817</v>
      </c>
      <c r="N85" s="15" t="s">
        <v>7727</v>
      </c>
    </row>
    <row r="86" spans="1:14" x14ac:dyDescent="0.3">
      <c r="A86" s="15" t="s">
        <v>823</v>
      </c>
      <c r="B86" s="12" t="str">
        <f>IFERROR(INDEX(Mots!$B:$B,MATCH($A86,Mots!$A:$A,0)),"introuvable")</f>
        <v>le fauteuil</v>
      </c>
      <c r="I86" s="15" t="s">
        <v>817</v>
      </c>
      <c r="N86" s="15" t="s">
        <v>7727</v>
      </c>
    </row>
    <row r="87" spans="1:14" x14ac:dyDescent="0.3">
      <c r="A87" s="15" t="s">
        <v>828</v>
      </c>
      <c r="B87" s="12" t="str">
        <f>IFERROR(INDEX(Mots!$B:$B,MATCH($A87,Mots!$A:$A,0)),"introuvable")</f>
        <v>le meuble</v>
      </c>
      <c r="C87" s="15" t="s">
        <v>828</v>
      </c>
      <c r="I87" s="15" t="s">
        <v>817</v>
      </c>
      <c r="N87" s="15" t="s">
        <v>7727</v>
      </c>
    </row>
    <row r="88" spans="1:14" x14ac:dyDescent="0.3">
      <c r="A88" s="15" t="s">
        <v>832</v>
      </c>
      <c r="B88" s="12" t="str">
        <f>IFERROR(INDEX(Mots!$B:$B,MATCH($A88,Mots!$A:$A,0)),"introuvable")</f>
        <v>la télévision</v>
      </c>
      <c r="I88" s="15" t="s">
        <v>817</v>
      </c>
      <c r="N88" s="15" t="s">
        <v>7727</v>
      </c>
    </row>
    <row r="89" spans="1:14" x14ac:dyDescent="0.3">
      <c r="A89" s="15" t="s">
        <v>835</v>
      </c>
      <c r="B89" s="12" t="str">
        <f>IFERROR(INDEX(Mots!$B:$B,MATCH($A89,Mots!$A:$A,0)),"introuvable")</f>
        <v>la lampe</v>
      </c>
      <c r="C89" s="15" t="s">
        <v>5288</v>
      </c>
      <c r="I89" s="15" t="s">
        <v>817</v>
      </c>
      <c r="N89" s="15" t="s">
        <v>7727</v>
      </c>
    </row>
    <row r="90" spans="1:14" x14ac:dyDescent="0.3">
      <c r="A90" s="15" t="s">
        <v>839</v>
      </c>
      <c r="B90" s="12" t="str">
        <f>IFERROR(INDEX(Mots!$B:$B,MATCH($A90,Mots!$A:$A,0)),"introuvable")</f>
        <v>la portée et les mesures</v>
      </c>
      <c r="I90" s="15" t="s">
        <v>7709</v>
      </c>
      <c r="N90" s="15" t="s">
        <v>7723</v>
      </c>
    </row>
    <row r="91" spans="1:14" x14ac:dyDescent="0.3">
      <c r="A91" s="15" t="s">
        <v>843</v>
      </c>
      <c r="B91" s="12" t="str">
        <f>IFERROR(INDEX(Mots!$B:$B,MATCH($A91,Mots!$A:$A,0)),"introuvable")</f>
        <v>la clé de sol</v>
      </c>
      <c r="I91" s="15" t="s">
        <v>7709</v>
      </c>
      <c r="N91" s="15" t="s">
        <v>7723</v>
      </c>
    </row>
    <row r="92" spans="1:14" x14ac:dyDescent="0.3">
      <c r="A92" s="15" t="s">
        <v>847</v>
      </c>
      <c r="B92" s="12" t="str">
        <f>IFERROR(INDEX(Mots!$B:$B,MATCH($A92,Mots!$A:$A,0)),"introuvable")</f>
        <v>les figures de notes</v>
      </c>
      <c r="I92" s="15" t="s">
        <v>7709</v>
      </c>
      <c r="N92" s="15" t="s">
        <v>7723</v>
      </c>
    </row>
    <row r="93" spans="1:14" x14ac:dyDescent="0.3">
      <c r="A93" s="15" t="s">
        <v>851</v>
      </c>
      <c r="B93" s="12" t="str">
        <f>IFERROR(INDEX(Mots!$B:$B,MATCH($A93,Mots!$A:$A,0)),"introuvable")</f>
        <v>les altérations</v>
      </c>
      <c r="I93" s="15" t="s">
        <v>7709</v>
      </c>
      <c r="N93" s="15" t="s">
        <v>7723</v>
      </c>
    </row>
    <row r="94" spans="1:14" x14ac:dyDescent="0.3">
      <c r="A94" s="15" t="s">
        <v>855</v>
      </c>
      <c r="B94" s="12" t="str">
        <f>IFERROR(INDEX(Mots!$B:$B,MATCH($A94,Mots!$A:$A,0)),"introuvable")</f>
        <v>les silences</v>
      </c>
      <c r="I94" s="15" t="s">
        <v>7709</v>
      </c>
      <c r="N94" s="15" t="s">
        <v>7723</v>
      </c>
    </row>
    <row r="95" spans="1:14" x14ac:dyDescent="0.3">
      <c r="A95" s="15" t="s">
        <v>859</v>
      </c>
      <c r="B95" s="12" t="str">
        <f>IFERROR(INDEX(Mots!$B:$B,MATCH($A95,Mots!$A:$A,0)),"introuvable")</f>
        <v>les nuances</v>
      </c>
      <c r="I95" s="15" t="s">
        <v>7709</v>
      </c>
      <c r="N95" s="15" t="s">
        <v>7723</v>
      </c>
    </row>
    <row r="96" spans="1:14" x14ac:dyDescent="0.3">
      <c r="A96" s="15" t="s">
        <v>863</v>
      </c>
      <c r="B96" s="12" t="str">
        <f>IFERROR(INDEX(Mots!$B:$B,MATCH($A96,Mots!$A:$A,0)),"introuvable")</f>
        <v>le crescendo et decrescendo</v>
      </c>
      <c r="I96" s="15" t="s">
        <v>7709</v>
      </c>
      <c r="N96" s="15" t="s">
        <v>7723</v>
      </c>
    </row>
    <row r="97" spans="1:7" x14ac:dyDescent="0.3">
      <c r="A97" s="15" t="s">
        <v>867</v>
      </c>
      <c r="B97" s="12" t="str">
        <f>IFERROR(INDEX(Mots!$B:$B,MATCH($A97,Mots!$A:$A,0)),"introuvable")</f>
        <v>la seconde</v>
      </c>
      <c r="G97" s="15" t="s">
        <v>7799</v>
      </c>
    </row>
    <row r="98" spans="1:7" x14ac:dyDescent="0.3">
      <c r="A98" s="15" t="s">
        <v>872</v>
      </c>
      <c r="B98" s="12" t="str">
        <f>IFERROR(INDEX(Mots!$B:$B,MATCH($A98,Mots!$A:$A,0)),"introuvable")</f>
        <v>la minute</v>
      </c>
      <c r="G98" s="15" t="s">
        <v>7799</v>
      </c>
    </row>
    <row r="99" spans="1:7" x14ac:dyDescent="0.3">
      <c r="A99" s="15" t="s">
        <v>876</v>
      </c>
      <c r="B99" s="12" t="str">
        <f>IFERROR(INDEX(Mots!$B:$B,MATCH($A99,Mots!$A:$A,0)),"introuvable")</f>
        <v>l'heure</v>
      </c>
      <c r="G99" s="15" t="s">
        <v>7799</v>
      </c>
    </row>
    <row r="100" spans="1:7" x14ac:dyDescent="0.3">
      <c r="A100" s="15" t="s">
        <v>880</v>
      </c>
      <c r="B100" s="12" t="str">
        <f>IFERROR(INDEX(Mots!$B:$B,MATCH($A100,Mots!$A:$A,0)),"introuvable")</f>
        <v>le jour</v>
      </c>
      <c r="G100" s="15" t="s">
        <v>7799</v>
      </c>
    </row>
    <row r="101" spans="1:7" x14ac:dyDescent="0.3">
      <c r="A101" s="15" t="s">
        <v>884</v>
      </c>
      <c r="B101" s="12" t="str">
        <f>IFERROR(INDEX(Mots!$B:$B,MATCH($A101,Mots!$A:$A,0)),"introuvable")</f>
        <v>le matin</v>
      </c>
      <c r="G101" s="15" t="s">
        <v>7799</v>
      </c>
    </row>
    <row r="102" spans="1:7" x14ac:dyDescent="0.3">
      <c r="A102" s="15" t="s">
        <v>892</v>
      </c>
      <c r="B102" s="12" t="str">
        <f>IFERROR(INDEX(Mots!$B:$B,MATCH($A102,Mots!$A:$A,0)),"introuvable")</f>
        <v>le soir</v>
      </c>
      <c r="G102" s="15" t="s">
        <v>7799</v>
      </c>
    </row>
    <row r="103" spans="1:7" x14ac:dyDescent="0.3">
      <c r="A103" s="15" t="s">
        <v>900</v>
      </c>
      <c r="B103" s="12" t="str">
        <f>IFERROR(INDEX(Mots!$B:$B,MATCH($A103,Mots!$A:$A,0)),"introuvable")</f>
        <v>la nuit</v>
      </c>
      <c r="G103" s="15" t="s">
        <v>7799</v>
      </c>
    </row>
    <row r="104" spans="1:7" x14ac:dyDescent="0.3">
      <c r="A104" s="15" t="s">
        <v>904</v>
      </c>
      <c r="B104" s="12" t="str">
        <f>IFERROR(INDEX(Mots!$B:$B,MATCH($A104,Mots!$A:$A,0)),"introuvable")</f>
        <v>la semaine</v>
      </c>
      <c r="G104" s="15" t="s">
        <v>7799</v>
      </c>
    </row>
    <row r="105" spans="1:7" x14ac:dyDescent="0.3">
      <c r="A105" s="15" t="s">
        <v>908</v>
      </c>
      <c r="B105" s="12" t="str">
        <f>IFERROR(INDEX(Mots!$B:$B,MATCH($A105,Mots!$A:$A,0)),"introuvable")</f>
        <v>le mois</v>
      </c>
      <c r="G105" s="15" t="s">
        <v>7799</v>
      </c>
    </row>
    <row r="106" spans="1:7" x14ac:dyDescent="0.3">
      <c r="A106" s="15" t="s">
        <v>912</v>
      </c>
      <c r="B106" s="12" t="str">
        <f>IFERROR(INDEX(Mots!$B:$B,MATCH($A106,Mots!$A:$A,0)),"introuvable")</f>
        <v>l'année</v>
      </c>
      <c r="G106" s="15" t="s">
        <v>7799</v>
      </c>
    </row>
    <row r="107" spans="1:7" x14ac:dyDescent="0.3">
      <c r="A107" s="15" t="s">
        <v>916</v>
      </c>
      <c r="B107" s="12" t="str">
        <f>IFERROR(INDEX(Mots!$B:$B,MATCH($A107,Mots!$A:$A,0)),"introuvable")</f>
        <v>le siècle</v>
      </c>
      <c r="G107" s="15" t="s">
        <v>7799</v>
      </c>
    </row>
    <row r="108" spans="1:7" x14ac:dyDescent="0.3">
      <c r="A108" s="15" t="s">
        <v>920</v>
      </c>
      <c r="B108" s="12" t="str">
        <f>IFERROR(INDEX(Mots!$B:$B,MATCH($A108,Mots!$A:$A,0)),"introuvable")</f>
        <v>le printemps</v>
      </c>
      <c r="G108" s="15" t="s">
        <v>7799</v>
      </c>
    </row>
    <row r="109" spans="1:7" x14ac:dyDescent="0.3">
      <c r="A109" s="15" t="s">
        <v>924</v>
      </c>
      <c r="B109" s="12" t="str">
        <f>IFERROR(INDEX(Mots!$B:$B,MATCH($A109,Mots!$A:$A,0)),"introuvable")</f>
        <v>l'été</v>
      </c>
      <c r="G109" s="15" t="s">
        <v>7799</v>
      </c>
    </row>
    <row r="110" spans="1:7" x14ac:dyDescent="0.3">
      <c r="A110" s="15" t="s">
        <v>928</v>
      </c>
      <c r="B110" s="12" t="str">
        <f>IFERROR(INDEX(Mots!$B:$B,MATCH($A110,Mots!$A:$A,0)),"introuvable")</f>
        <v>l'automne</v>
      </c>
      <c r="G110" s="15" t="s">
        <v>7799</v>
      </c>
    </row>
    <row r="111" spans="1:7" x14ac:dyDescent="0.3">
      <c r="A111" s="15" t="s">
        <v>932</v>
      </c>
      <c r="B111" s="12" t="str">
        <f>IFERROR(INDEX(Mots!$B:$B,MATCH($A111,Mots!$A:$A,0)),"introuvable")</f>
        <v>l'hiver</v>
      </c>
      <c r="G111" s="15" t="s">
        <v>7799</v>
      </c>
    </row>
    <row r="112" spans="1:7" x14ac:dyDescent="0.3">
      <c r="A112" s="15" t="s">
        <v>936</v>
      </c>
      <c r="B112" s="12" t="str">
        <f>IFERROR(INDEX(Mots!$B:$B,MATCH($A112,Mots!$A:$A,0)),"introuvable")</f>
        <v>la saison</v>
      </c>
      <c r="G112" s="15" t="s">
        <v>7799</v>
      </c>
    </row>
    <row r="113" spans="1:7" x14ac:dyDescent="0.3">
      <c r="A113" s="15" t="s">
        <v>940</v>
      </c>
      <c r="B113" s="12" t="str">
        <f>IFERROR(INDEX(Mots!$B:$B,MATCH($A113,Mots!$A:$A,0)),"introuvable")</f>
        <v>la date</v>
      </c>
      <c r="G113" s="15" t="s">
        <v>7799</v>
      </c>
    </row>
    <row r="114" spans="1:7" x14ac:dyDescent="0.3">
      <c r="A114" s="15" t="s">
        <v>944</v>
      </c>
      <c r="B114" s="12" t="str">
        <f>IFERROR(INDEX(Mots!$B:$B,MATCH($A114,Mots!$A:$A,0)),"introuvable")</f>
        <v>l'anniversaire</v>
      </c>
      <c r="G114" s="15" t="s">
        <v>7799</v>
      </c>
    </row>
    <row r="115" spans="1:7" x14ac:dyDescent="0.3">
      <c r="A115" s="15" t="s">
        <v>948</v>
      </c>
      <c r="B115" s="12" t="str">
        <f>IFERROR(INDEX(Mots!$B:$B,MATCH($A115,Mots!$A:$A,0)),"introuvable")</f>
        <v>aujourd'hui</v>
      </c>
      <c r="G115" s="15" t="s">
        <v>7799</v>
      </c>
    </row>
    <row r="116" spans="1:7" x14ac:dyDescent="0.3">
      <c r="A116" s="15" t="s">
        <v>953</v>
      </c>
      <c r="B116" s="12" t="str">
        <f>IFERROR(INDEX(Mots!$B:$B,MATCH($A116,Mots!$A:$A,0)),"introuvable")</f>
        <v>hier</v>
      </c>
      <c r="G116" s="15" t="s">
        <v>7799</v>
      </c>
    </row>
    <row r="117" spans="1:7" x14ac:dyDescent="0.3">
      <c r="A117" s="15" t="s">
        <v>955</v>
      </c>
      <c r="B117" s="12" t="str">
        <f>IFERROR(INDEX(Mots!$B:$B,MATCH($A117,Mots!$A:$A,0)),"introuvable")</f>
        <v>demain</v>
      </c>
      <c r="G117" s="15" t="s">
        <v>7799</v>
      </c>
    </row>
    <row r="118" spans="1:7" x14ac:dyDescent="0.3">
      <c r="A118" s="15" t="s">
        <v>957</v>
      </c>
      <c r="B118" s="12" t="str">
        <f>IFERROR(INDEX(Mots!$B:$B,MATCH($A118,Mots!$A:$A,0)),"introuvable")</f>
        <v>maintenant</v>
      </c>
      <c r="G118" s="15" t="s">
        <v>7799</v>
      </c>
    </row>
    <row r="119" spans="1:7" x14ac:dyDescent="0.3">
      <c r="A119" s="15" t="s">
        <v>960</v>
      </c>
      <c r="B119" s="12" t="str">
        <f>IFERROR(INDEX(Mots!$B:$B,MATCH($A119,Mots!$A:$A,0)),"introuvable")</f>
        <v>le calendrier</v>
      </c>
      <c r="G119" s="15" t="s">
        <v>7799</v>
      </c>
    </row>
    <row r="120" spans="1:7" x14ac:dyDescent="0.3">
      <c r="A120" s="15" t="s">
        <v>964</v>
      </c>
      <c r="B120" s="12" t="str">
        <f>IFERROR(INDEX(Mots!$B:$B,MATCH($A120,Mots!$A:$A,0)),"introuvable")</f>
        <v>l'agenda</v>
      </c>
      <c r="G120" s="15" t="s">
        <v>7799</v>
      </c>
    </row>
    <row r="121" spans="1:7" x14ac:dyDescent="0.3">
      <c r="A121" s="15" t="s">
        <v>968</v>
      </c>
      <c r="B121" s="12" t="str">
        <f>IFERROR(INDEX(Mots!$B:$B,MATCH($A121,Mots!$A:$A,0)),"introuvable")</f>
        <v>la durée</v>
      </c>
      <c r="G121" s="15" t="s">
        <v>7799</v>
      </c>
    </row>
    <row r="122" spans="1:7" x14ac:dyDescent="0.3">
      <c r="A122" s="15" t="s">
        <v>972</v>
      </c>
      <c r="B122" s="12" t="str">
        <f>IFERROR(INDEX(Mots!$B:$B,MATCH($A122,Mots!$A:$A,0)),"introuvable")</f>
        <v>tôt</v>
      </c>
      <c r="G122" s="15" t="s">
        <v>7799</v>
      </c>
    </row>
    <row r="123" spans="1:7" x14ac:dyDescent="0.3">
      <c r="A123" s="15" t="s">
        <v>976</v>
      </c>
      <c r="B123" s="12" t="str">
        <f>IFERROR(INDEX(Mots!$B:$B,MATCH($A123,Mots!$A:$A,0)),"introuvable")</f>
        <v>tard</v>
      </c>
      <c r="G123" s="15" t="s">
        <v>7799</v>
      </c>
    </row>
    <row r="124" spans="1:7" x14ac:dyDescent="0.3">
      <c r="A124" s="15" t="s">
        <v>979</v>
      </c>
      <c r="B124" s="12" t="str">
        <f>IFERROR(INDEX(Mots!$B:$B,MATCH($A124,Mots!$A:$A,0)),"introuvable")</f>
        <v>toujours</v>
      </c>
      <c r="G124" s="15" t="s">
        <v>7799</v>
      </c>
    </row>
    <row r="125" spans="1:7" x14ac:dyDescent="0.3">
      <c r="A125" s="15" t="s">
        <v>982</v>
      </c>
      <c r="B125" s="12" t="str">
        <f>IFERROR(INDEX(Mots!$B:$B,MATCH($A125,Mots!$A:$A,0)),"introuvable")</f>
        <v>jamais</v>
      </c>
      <c r="G125" s="15" t="s">
        <v>7799</v>
      </c>
    </row>
    <row r="126" spans="1:7" x14ac:dyDescent="0.3">
      <c r="A126" s="15" t="s">
        <v>985</v>
      </c>
      <c r="B126" s="12" t="str">
        <f>IFERROR(INDEX(Mots!$B:$B,MATCH($A126,Mots!$A:$A,0)),"introuvable")</f>
        <v>souvent</v>
      </c>
      <c r="G126" s="15" t="s">
        <v>7799</v>
      </c>
    </row>
    <row r="127" spans="1:7" x14ac:dyDescent="0.3">
      <c r="A127" s="15" t="s">
        <v>988</v>
      </c>
      <c r="B127" s="12" t="str">
        <f>IFERROR(INDEX(Mots!$B:$B,MATCH($A127,Mots!$A:$A,0)),"introuvable")</f>
        <v>parfois</v>
      </c>
      <c r="G127" s="15" t="s">
        <v>7799</v>
      </c>
    </row>
    <row r="128" spans="1:7" x14ac:dyDescent="0.3">
      <c r="A128" s="15" t="s">
        <v>991</v>
      </c>
      <c r="B128" s="12" t="str">
        <f>IFERROR(INDEX(Mots!$B:$B,MATCH($A128,Mots!$A:$A,0)),"introuvable")</f>
        <v>la paire</v>
      </c>
      <c r="G128" s="15" t="s">
        <v>6023</v>
      </c>
    </row>
    <row r="129" spans="1:14" x14ac:dyDescent="0.3">
      <c r="A129" s="15" t="s">
        <v>995</v>
      </c>
      <c r="B129" s="12" t="str">
        <f>IFERROR(INDEX(Mots!$B:$B,MATCH($A129,Mots!$A:$A,0)),"introuvable")</f>
        <v>la douzaine</v>
      </c>
      <c r="G129" s="15" t="s">
        <v>6023</v>
      </c>
    </row>
    <row r="130" spans="1:14" x14ac:dyDescent="0.3">
      <c r="A130" s="15" t="s">
        <v>999</v>
      </c>
      <c r="B130" s="12" t="str">
        <f>IFERROR(INDEX(Mots!$B:$B,MATCH($A130,Mots!$A:$A,0)),"introuvable")</f>
        <v>la centaine</v>
      </c>
      <c r="G130" s="15" t="s">
        <v>7805</v>
      </c>
    </row>
    <row r="131" spans="1:14" x14ac:dyDescent="0.3">
      <c r="A131" s="15" t="s">
        <v>1003</v>
      </c>
      <c r="B131" s="12" t="str">
        <f>IFERROR(INDEX(Mots!$B:$B,MATCH($A131,Mots!$A:$A,0)),"introuvable")</f>
        <v>le ventre</v>
      </c>
      <c r="E131" s="15" t="s">
        <v>46</v>
      </c>
      <c r="N131" s="15" t="s">
        <v>7718</v>
      </c>
    </row>
    <row r="132" spans="1:14" x14ac:dyDescent="0.3">
      <c r="A132" s="15" t="s">
        <v>1008</v>
      </c>
      <c r="B132" s="12" t="str">
        <f>IFERROR(INDEX(Mots!$B:$B,MATCH($A132,Mots!$A:$A,0)),"introuvable")</f>
        <v>le dos</v>
      </c>
      <c r="C132" s="15" t="s">
        <v>7749</v>
      </c>
      <c r="E132" s="15" t="s">
        <v>46</v>
      </c>
      <c r="N132" s="15" t="s">
        <v>7718</v>
      </c>
    </row>
    <row r="133" spans="1:14" x14ac:dyDescent="0.3">
      <c r="A133" s="15" t="s">
        <v>1013</v>
      </c>
      <c r="B133" s="12" t="str">
        <f>IFERROR(INDEX(Mots!$B:$B,MATCH($A133,Mots!$A:$A,0)),"introuvable")</f>
        <v>le coeur</v>
      </c>
      <c r="C133" s="15" t="s">
        <v>7749</v>
      </c>
      <c r="E133" s="15" t="s">
        <v>46</v>
      </c>
      <c r="N133" s="15" t="s">
        <v>7718</v>
      </c>
    </row>
    <row r="134" spans="1:14" x14ac:dyDescent="0.3">
      <c r="A134" s="15" t="s">
        <v>1017</v>
      </c>
      <c r="B134" s="12" t="str">
        <f>IFERROR(INDEX(Mots!$B:$B,MATCH($A134,Mots!$A:$A,0)),"introuvable")</f>
        <v>la poitrine</v>
      </c>
      <c r="E134" s="15" t="s">
        <v>46</v>
      </c>
      <c r="N134" s="15" t="s">
        <v>7718</v>
      </c>
    </row>
    <row r="135" spans="1:14" x14ac:dyDescent="0.3">
      <c r="A135" s="15" t="s">
        <v>1021</v>
      </c>
      <c r="B135" s="12" t="str">
        <f>IFERROR(INDEX(Mots!$B:$B,MATCH($A135,Mots!$A:$A,0)),"introuvable")</f>
        <v>le torse</v>
      </c>
      <c r="E135" s="15" t="s">
        <v>46</v>
      </c>
      <c r="N135" s="15" t="s">
        <v>7718</v>
      </c>
    </row>
    <row r="136" spans="1:14" x14ac:dyDescent="0.3">
      <c r="A136" s="15" t="s">
        <v>1025</v>
      </c>
      <c r="B136" s="12" t="str">
        <f>IFERROR(INDEX(Mots!$B:$B,MATCH($A136,Mots!$A:$A,0)),"introuvable")</f>
        <v>l'épaule</v>
      </c>
      <c r="C136" s="15" t="s">
        <v>7749</v>
      </c>
      <c r="E136" s="15" t="s">
        <v>46</v>
      </c>
      <c r="N136" s="15" t="s">
        <v>7718</v>
      </c>
    </row>
    <row r="137" spans="1:14" x14ac:dyDescent="0.3">
      <c r="A137" s="15" t="s">
        <v>1029</v>
      </c>
      <c r="B137" s="12" t="str">
        <f>IFERROR(INDEX(Mots!$B:$B,MATCH($A137,Mots!$A:$A,0)),"introuvable")</f>
        <v>la tête</v>
      </c>
      <c r="E137" s="15" t="s">
        <v>46</v>
      </c>
      <c r="N137" s="15" t="s">
        <v>7718</v>
      </c>
    </row>
    <row r="138" spans="1:14" x14ac:dyDescent="0.3">
      <c r="A138" s="15" t="s">
        <v>1032</v>
      </c>
      <c r="B138" s="12" t="str">
        <f>IFERROR(INDEX(Mots!$B:$B,MATCH($A138,Mots!$A:$A,0)),"introuvable")</f>
        <v>les cheveux</v>
      </c>
      <c r="E138" s="15" t="s">
        <v>46</v>
      </c>
      <c r="N138" s="15" t="s">
        <v>7718</v>
      </c>
    </row>
    <row r="139" spans="1:14" x14ac:dyDescent="0.3">
      <c r="A139" s="15" t="s">
        <v>1037</v>
      </c>
      <c r="B139" s="12" t="str">
        <f>IFERROR(INDEX(Mots!$B:$B,MATCH($A139,Mots!$A:$A,0)),"introuvable")</f>
        <v>l'oeil</v>
      </c>
      <c r="C139" s="15" t="s">
        <v>7749</v>
      </c>
      <c r="E139" s="15" t="s">
        <v>46</v>
      </c>
      <c r="N139" s="15" t="s">
        <v>7718</v>
      </c>
    </row>
    <row r="140" spans="1:14" x14ac:dyDescent="0.3">
      <c r="A140" s="15" t="s">
        <v>1042</v>
      </c>
      <c r="B140" s="12" t="str">
        <f>IFERROR(INDEX(Mots!$B:$B,MATCH($A140,Mots!$A:$A,0)),"introuvable")</f>
        <v>le nez</v>
      </c>
      <c r="E140" s="15" t="s">
        <v>46</v>
      </c>
      <c r="N140" s="15" t="s">
        <v>7718</v>
      </c>
    </row>
    <row r="141" spans="1:14" x14ac:dyDescent="0.3">
      <c r="A141" s="15" t="s">
        <v>1051</v>
      </c>
      <c r="B141" s="12" t="str">
        <f>IFERROR(INDEX(Mots!$B:$B,MATCH($A141,Mots!$A:$A,0)),"introuvable")</f>
        <v>la bouche</v>
      </c>
      <c r="E141" s="15" t="s">
        <v>46</v>
      </c>
      <c r="N141" s="15" t="s">
        <v>7718</v>
      </c>
    </row>
    <row r="142" spans="1:14" x14ac:dyDescent="0.3">
      <c r="A142" s="15" t="s">
        <v>1055</v>
      </c>
      <c r="B142" s="12" t="str">
        <f>IFERROR(INDEX(Mots!$B:$B,MATCH($A142,Mots!$A:$A,0)),"introuvable")</f>
        <v>la dent</v>
      </c>
      <c r="C142" s="15" t="s">
        <v>7740</v>
      </c>
      <c r="E142" s="15" t="s">
        <v>46</v>
      </c>
      <c r="N142" s="15" t="s">
        <v>7718</v>
      </c>
    </row>
    <row r="143" spans="1:14" x14ac:dyDescent="0.3">
      <c r="A143" s="15" t="s">
        <v>1060</v>
      </c>
      <c r="B143" s="12" t="str">
        <f>IFERROR(INDEX(Mots!$B:$B,MATCH($A143,Mots!$A:$A,0)),"introuvable")</f>
        <v>l'oreille</v>
      </c>
      <c r="C143" s="15" t="s">
        <v>7749</v>
      </c>
      <c r="E143" s="15" t="s">
        <v>46</v>
      </c>
      <c r="N143" s="15" t="s">
        <v>7718</v>
      </c>
    </row>
    <row r="144" spans="1:14" x14ac:dyDescent="0.3">
      <c r="A144" s="15" t="s">
        <v>1065</v>
      </c>
      <c r="B144" s="12" t="str">
        <f>IFERROR(INDEX(Mots!$B:$B,MATCH($A144,Mots!$A:$A,0)),"introuvable")</f>
        <v>la joue</v>
      </c>
      <c r="E144" s="15" t="s">
        <v>46</v>
      </c>
      <c r="N144" s="15" t="s">
        <v>7718</v>
      </c>
    </row>
    <row r="145" spans="1:14" x14ac:dyDescent="0.3">
      <c r="A145" s="15" t="s">
        <v>1069</v>
      </c>
      <c r="B145" s="12" t="str">
        <f>IFERROR(INDEX(Mots!$B:$B,MATCH($A145,Mots!$A:$A,0)),"introuvable")</f>
        <v>la langue</v>
      </c>
      <c r="E145" s="15" t="s">
        <v>46</v>
      </c>
      <c r="N145" s="15" t="s">
        <v>7718</v>
      </c>
    </row>
    <row r="146" spans="1:14" x14ac:dyDescent="0.3">
      <c r="A146" s="15" t="s">
        <v>1073</v>
      </c>
      <c r="B146" s="12" t="str">
        <f>IFERROR(INDEX(Mots!$B:$B,MATCH($A146,Mots!$A:$A,0)),"introuvable")</f>
        <v>la lèvre</v>
      </c>
      <c r="E146" s="15" t="s">
        <v>46</v>
      </c>
      <c r="N146" s="15" t="s">
        <v>7718</v>
      </c>
    </row>
    <row r="147" spans="1:14" x14ac:dyDescent="0.3">
      <c r="A147" s="15" t="s">
        <v>1077</v>
      </c>
      <c r="B147" s="12" t="str">
        <f>IFERROR(INDEX(Mots!$B:$B,MATCH($A147,Mots!$A:$A,0)),"introuvable")</f>
        <v>le cou</v>
      </c>
      <c r="C147" s="15" t="s">
        <v>7749</v>
      </c>
      <c r="E147" s="15" t="s">
        <v>46</v>
      </c>
      <c r="N147" s="15" t="s">
        <v>7718</v>
      </c>
    </row>
    <row r="148" spans="1:14" x14ac:dyDescent="0.3">
      <c r="A148" s="15" t="s">
        <v>1081</v>
      </c>
      <c r="B148" s="12" t="str">
        <f>IFERROR(INDEX(Mots!$B:$B,MATCH($A148,Mots!$A:$A,0)),"introuvable")</f>
        <v>le front</v>
      </c>
      <c r="E148" s="15" t="s">
        <v>46</v>
      </c>
      <c r="N148" s="15" t="s">
        <v>7718</v>
      </c>
    </row>
    <row r="149" spans="1:14" x14ac:dyDescent="0.3">
      <c r="A149" s="15" t="s">
        <v>1085</v>
      </c>
      <c r="B149" s="12" t="str">
        <f>IFERROR(INDEX(Mots!$B:$B,MATCH($A149,Mots!$A:$A,0)),"introuvable")</f>
        <v>la casquette</v>
      </c>
      <c r="C149" s="15" t="s">
        <v>6572</v>
      </c>
      <c r="N149" s="15" t="s">
        <v>7716</v>
      </c>
    </row>
    <row r="150" spans="1:14" x14ac:dyDescent="0.3">
      <c r="A150" s="15" t="s">
        <v>1090</v>
      </c>
      <c r="B150" s="12" t="str">
        <f>IFERROR(INDEX(Mots!$B:$B,MATCH($A150,Mots!$A:$A,0)),"introuvable")</f>
        <v>la ceinture</v>
      </c>
      <c r="C150" s="15" t="s">
        <v>4645</v>
      </c>
      <c r="N150" s="15" t="s">
        <v>7716</v>
      </c>
    </row>
    <row r="151" spans="1:14" x14ac:dyDescent="0.3">
      <c r="A151" s="15" t="s">
        <v>1094</v>
      </c>
      <c r="B151" s="12" t="str">
        <f>IFERROR(INDEX(Mots!$B:$B,MATCH($A151,Mots!$A:$A,0)),"introuvable")</f>
        <v>le bonnet</v>
      </c>
      <c r="N151" s="15" t="s">
        <v>7716</v>
      </c>
    </row>
    <row r="152" spans="1:14" x14ac:dyDescent="0.3">
      <c r="A152" s="15" t="s">
        <v>1098</v>
      </c>
      <c r="B152" s="12" t="str">
        <f>IFERROR(INDEX(Mots!$B:$B,MATCH($A152,Mots!$A:$A,0)),"introuvable")</f>
        <v>le gant</v>
      </c>
      <c r="C152" s="15" t="s">
        <v>6572</v>
      </c>
      <c r="N152" s="15" t="s">
        <v>7716</v>
      </c>
    </row>
    <row r="153" spans="1:14" x14ac:dyDescent="0.3">
      <c r="A153" s="15" t="s">
        <v>1106</v>
      </c>
      <c r="B153" s="12" t="str">
        <f>IFERROR(INDEX(Mots!$B:$B,MATCH($A153,Mots!$A:$A,0)),"introuvable")</f>
        <v>l'écharpe</v>
      </c>
      <c r="C153" s="15" t="s">
        <v>4645</v>
      </c>
      <c r="N153" s="15" t="s">
        <v>7716</v>
      </c>
    </row>
    <row r="154" spans="1:14" x14ac:dyDescent="0.3">
      <c r="A154" s="15" t="s">
        <v>1114</v>
      </c>
      <c r="B154" s="12" t="str">
        <f>IFERROR(INDEX(Mots!$B:$B,MATCH($A154,Mots!$A:$A,0)),"introuvable")</f>
        <v>la sourdine Cup</v>
      </c>
      <c r="I154" s="15" t="s">
        <v>7709</v>
      </c>
      <c r="N154" s="15" t="s">
        <v>7723</v>
      </c>
    </row>
    <row r="155" spans="1:14" x14ac:dyDescent="0.3">
      <c r="A155" s="15" t="s">
        <v>1117</v>
      </c>
      <c r="B155" s="12" t="str">
        <f>IFERROR(INDEX(Mots!$B:$B,MATCH($A155,Mots!$A:$A,0)),"introuvable")</f>
        <v>la sourdine straignt ou metal</v>
      </c>
      <c r="C155" s="15" t="s">
        <v>4645</v>
      </c>
      <c r="I155" s="15" t="s">
        <v>7709</v>
      </c>
      <c r="N155" s="15" t="s">
        <v>7723</v>
      </c>
    </row>
    <row r="156" spans="1:14" x14ac:dyDescent="0.3">
      <c r="A156" s="15" t="s">
        <v>1120</v>
      </c>
      <c r="B156" s="12" t="str">
        <f>IFERROR(INDEX(Mots!$B:$B,MATCH($A156,Mots!$A:$A,0)),"introuvable")</f>
        <v>l'embouchure</v>
      </c>
      <c r="C156" s="15" t="s">
        <v>4645</v>
      </c>
      <c r="I156" s="15" t="s">
        <v>7709</v>
      </c>
      <c r="N156" s="15" t="s">
        <v>7723</v>
      </c>
    </row>
    <row r="157" spans="1:14" x14ac:dyDescent="0.3">
      <c r="A157" s="15" t="s">
        <v>1124</v>
      </c>
      <c r="B157" s="12" t="str">
        <f>IFERROR(INDEX(Mots!$B:$B,MATCH($A157,Mots!$A:$A,0)),"introuvable")</f>
        <v>les pistons</v>
      </c>
      <c r="I157" s="15" t="s">
        <v>7709</v>
      </c>
      <c r="N157" s="15" t="s">
        <v>7723</v>
      </c>
    </row>
    <row r="158" spans="1:14" x14ac:dyDescent="0.3">
      <c r="A158" s="15" t="s">
        <v>1127</v>
      </c>
      <c r="B158" s="12" t="str">
        <f>IFERROR(INDEX(Mots!$B:$B,MATCH($A158,Mots!$A:$A,0)),"introuvable")</f>
        <v>la coulisse</v>
      </c>
      <c r="C158" s="15" t="s">
        <v>4645</v>
      </c>
      <c r="I158" s="15" t="s">
        <v>7709</v>
      </c>
      <c r="N158" s="15" t="s">
        <v>7723</v>
      </c>
    </row>
    <row r="159" spans="1:14" x14ac:dyDescent="0.3">
      <c r="A159" s="15" t="s">
        <v>1131</v>
      </c>
      <c r="B159" s="12" t="str">
        <f>IFERROR(INDEX(Mots!$B:$B,MATCH($A159,Mots!$A:$A,0)),"introuvable")</f>
        <v>le coffre</v>
      </c>
      <c r="C159" s="15" t="s">
        <v>7731</v>
      </c>
      <c r="I159" s="15" t="s">
        <v>7709</v>
      </c>
      <c r="N159" s="15" t="s">
        <v>7723</v>
      </c>
    </row>
    <row r="160" spans="1:14" x14ac:dyDescent="0.3">
      <c r="A160" s="15" t="s">
        <v>1135</v>
      </c>
      <c r="B160" s="12" t="str">
        <f>IFERROR(INDEX(Mots!$B:$B,MATCH($A160,Mots!$A:$A,0)),"introuvable")</f>
        <v>l'huile</v>
      </c>
      <c r="I160" s="15" t="s">
        <v>7709</v>
      </c>
      <c r="N160" s="15" t="s">
        <v>7723</v>
      </c>
    </row>
    <row r="161" spans="1:14" x14ac:dyDescent="0.3">
      <c r="A161" s="15" t="s">
        <v>1139</v>
      </c>
      <c r="B161" s="12" t="str">
        <f>IFERROR(INDEX(Mots!$B:$B,MATCH($A161,Mots!$A:$A,0)),"introuvable")</f>
        <v>la graisse</v>
      </c>
      <c r="C161" s="15" t="s">
        <v>4645</v>
      </c>
      <c r="I161" s="15" t="s">
        <v>7709</v>
      </c>
      <c r="N161" s="15" t="s">
        <v>7723</v>
      </c>
    </row>
    <row r="162" spans="1:14" x14ac:dyDescent="0.3">
      <c r="A162" s="15" t="s">
        <v>1143</v>
      </c>
      <c r="B162" s="12" t="str">
        <f>IFERROR(INDEX(Mots!$B:$B,MATCH($A162,Mots!$A:$A,0)),"introuvable")</f>
        <v>les brosses</v>
      </c>
      <c r="C162" s="15" t="s">
        <v>6884</v>
      </c>
      <c r="I162" s="15" t="s">
        <v>7709</v>
      </c>
      <c r="N162" s="15" t="s">
        <v>7723</v>
      </c>
    </row>
    <row r="163" spans="1:14" x14ac:dyDescent="0.3">
      <c r="A163" s="15" t="s">
        <v>1147</v>
      </c>
      <c r="B163" s="12" t="str">
        <f>IFERROR(INDEX(Mots!$B:$B,MATCH($A163,Mots!$A:$A,0)),"introuvable")</f>
        <v>le pupitre</v>
      </c>
      <c r="I163" s="15" t="s">
        <v>7709</v>
      </c>
      <c r="N163" s="15" t="s">
        <v>7723</v>
      </c>
    </row>
    <row r="164" spans="1:14" x14ac:dyDescent="0.3">
      <c r="A164" s="15" t="s">
        <v>1152</v>
      </c>
      <c r="B164" s="12" t="str">
        <f>IFERROR(INDEX(Mots!$B:$B,MATCH($A164,Mots!$A:$A,0)),"introuvable")</f>
        <v>l'uniforme</v>
      </c>
      <c r="I164" s="15" t="s">
        <v>7709</v>
      </c>
      <c r="N164" s="15" t="s">
        <v>7723</v>
      </c>
    </row>
    <row r="165" spans="1:14" x14ac:dyDescent="0.3">
      <c r="A165" s="15" t="s">
        <v>1157</v>
      </c>
      <c r="B165" s="12" t="str">
        <f>IFERROR(INDEX(Mots!$B:$B,MATCH($A165,Mots!$A:$A,0)),"introuvable")</f>
        <v>des pâtes</v>
      </c>
      <c r="C165" s="15" t="s">
        <v>7740</v>
      </c>
      <c r="I165" s="15" t="s">
        <v>702</v>
      </c>
      <c r="N165" s="15" t="s">
        <v>7711</v>
      </c>
    </row>
    <row r="166" spans="1:14" x14ac:dyDescent="0.3">
      <c r="A166" s="15" t="s">
        <v>1161</v>
      </c>
      <c r="B166" s="12" t="str">
        <f>IFERROR(INDEX(Mots!$B:$B,MATCH($A166,Mots!$A:$A,0)),"introuvable")</f>
        <v>le riz</v>
      </c>
      <c r="C166" s="15" t="s">
        <v>7740</v>
      </c>
      <c r="I166" s="15" t="s">
        <v>702</v>
      </c>
      <c r="N166" s="15" t="s">
        <v>7711</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7740</v>
      </c>
      <c r="I170" s="15" t="s">
        <v>3780</v>
      </c>
    </row>
    <row r="171" spans="1:14" x14ac:dyDescent="0.3">
      <c r="A171" s="15" t="s">
        <v>1185</v>
      </c>
      <c r="B171" s="12" t="str">
        <f>IFERROR(INDEX(Mots!$B:$B,MATCH($A171,Mots!$A:$A,0)),"introuvable")</f>
        <v>le mouton</v>
      </c>
      <c r="C171" s="15" t="s">
        <v>7740</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7713</v>
      </c>
    </row>
    <row r="202" spans="1:14" x14ac:dyDescent="0.3">
      <c r="A202" s="15" t="s">
        <v>1340</v>
      </c>
      <c r="B202" s="12" t="str">
        <f>IFERROR(INDEX(Mots!$B:$B,MATCH($A202,Mots!$A:$A,0)),"introuvable")</f>
        <v>le sel</v>
      </c>
      <c r="I202" s="15" t="s">
        <v>702</v>
      </c>
      <c r="N202" s="15" t="s">
        <v>7713</v>
      </c>
    </row>
    <row r="203" spans="1:14" x14ac:dyDescent="0.3">
      <c r="A203" s="15" t="s">
        <v>1345</v>
      </c>
      <c r="B203" s="12" t="str">
        <f>IFERROR(INDEX(Mots!$B:$B,MATCH($A203,Mots!$A:$A,0)),"introuvable")</f>
        <v>le poivre</v>
      </c>
      <c r="C203" s="15" t="s">
        <v>2811</v>
      </c>
      <c r="I203" s="15" t="s">
        <v>702</v>
      </c>
      <c r="N203" s="15" t="s">
        <v>7713</v>
      </c>
    </row>
    <row r="204" spans="1:14" x14ac:dyDescent="0.3">
      <c r="A204" s="15" t="s">
        <v>1350</v>
      </c>
      <c r="B204" s="12" t="str">
        <f>IFERROR(INDEX(Mots!$B:$B,MATCH($A204,Mots!$A:$A,0)),"introuvable")</f>
        <v>l'arôme Maggy</v>
      </c>
      <c r="I204" s="15" t="s">
        <v>702</v>
      </c>
      <c r="N204" s="15" t="s">
        <v>7713</v>
      </c>
    </row>
    <row r="205" spans="1:14" x14ac:dyDescent="0.3">
      <c r="A205" s="15" t="s">
        <v>1355</v>
      </c>
      <c r="B205" s="12" t="str">
        <f>IFERROR(INDEX(Mots!$B:$B,MATCH($A205,Mots!$A:$A,0)),"introuvable")</f>
        <v>le curry</v>
      </c>
      <c r="I205" s="15" t="s">
        <v>702</v>
      </c>
      <c r="N205" s="15" t="s">
        <v>7713</v>
      </c>
    </row>
    <row r="206" spans="1:14" x14ac:dyDescent="0.3">
      <c r="A206" s="15" t="s">
        <v>1360</v>
      </c>
      <c r="B206" s="12" t="str">
        <f>IFERROR(INDEX(Mots!$B:$B,MATCH($A206,Mots!$A:$A,0)),"introuvable")</f>
        <v>Assurance invalidité</v>
      </c>
      <c r="I206" s="15" t="s">
        <v>82</v>
      </c>
      <c r="N206" s="15" t="s">
        <v>7375</v>
      </c>
    </row>
    <row r="207" spans="1:14" x14ac:dyDescent="0.3">
      <c r="A207" s="15" t="s">
        <v>1364</v>
      </c>
      <c r="B207" s="12" t="str">
        <f>IFERROR(INDEX(Mots!$B:$B,MATCH($A207,Mots!$A:$A,0)),"introuvable")</f>
        <v>Caisse de pensions ORAE</v>
      </c>
      <c r="I207" s="15" t="s">
        <v>82</v>
      </c>
      <c r="N207" s="15" t="s">
        <v>7375</v>
      </c>
    </row>
    <row r="208" spans="1:14" x14ac:dyDescent="0.3">
      <c r="A208" s="15" t="s">
        <v>1368</v>
      </c>
      <c r="B208" s="12" t="str">
        <f>IFERROR(INDEX(Mots!$B:$B,MATCH($A208,Mots!$A:$A,0)),"introuvable")</f>
        <v>KPT assurance maladie</v>
      </c>
      <c r="I208" s="15" t="s">
        <v>82</v>
      </c>
      <c r="N208" s="15" t="s">
        <v>7375</v>
      </c>
    </row>
    <row r="209" spans="1:14" x14ac:dyDescent="0.3">
      <c r="A209" s="15" t="s">
        <v>1372</v>
      </c>
      <c r="B209" s="12" t="str">
        <f>IFERROR(INDEX(Mots!$B:$B,MATCH($A209,Mots!$A:$A,0)),"introuvable")</f>
        <v>Banque Migros</v>
      </c>
      <c r="C209" s="15" t="s">
        <v>7749</v>
      </c>
      <c r="I209" s="15" t="s">
        <v>82</v>
      </c>
      <c r="N209" s="15" t="s">
        <v>7375</v>
      </c>
    </row>
    <row r="210" spans="1:14" x14ac:dyDescent="0.3">
      <c r="A210" s="15" t="s">
        <v>1376</v>
      </c>
      <c r="B210" s="12" t="str">
        <f>IFERROR(INDEX(Mots!$B:$B,MATCH($A210,Mots!$A:$A,0)),"introuvable")</f>
        <v>Banque Raiffeisen</v>
      </c>
      <c r="I210" s="15" t="s">
        <v>82</v>
      </c>
      <c r="N210" s="15" t="s">
        <v>7375</v>
      </c>
    </row>
    <row r="211" spans="1:14" x14ac:dyDescent="0.3">
      <c r="A211" s="15" t="s">
        <v>9653</v>
      </c>
      <c r="B211" s="12" t="str">
        <f>IFERROR(INDEX(Mots!$B:$B,MATCH($A211,Mots!$A:$A,0)),"introuvable")</f>
        <v>Assurance La Mobilière</v>
      </c>
      <c r="I211" s="15" t="s">
        <v>82</v>
      </c>
      <c r="N211" s="15" t="s">
        <v>7375</v>
      </c>
    </row>
    <row r="212" spans="1:14" x14ac:dyDescent="0.3">
      <c r="A212" s="15" t="s">
        <v>1383</v>
      </c>
      <c r="B212" s="12" t="str">
        <f>IFERROR(INDEX(Mots!$B:$B,MATCH($A212,Mots!$A:$A,0)),"introuvable")</f>
        <v>Assurance Helvetia</v>
      </c>
      <c r="I212" s="15" t="s">
        <v>82</v>
      </c>
      <c r="N212" s="15" t="s">
        <v>7375</v>
      </c>
    </row>
    <row r="213" spans="1:14" x14ac:dyDescent="0.3">
      <c r="A213" s="15" t="s">
        <v>9448</v>
      </c>
      <c r="B213" s="12" t="str">
        <f>IFERROR(INDEX(Mots!$B:$B,MATCH($A213,Mots!$A:$A,0)),"introuvable")</f>
        <v>la carte</v>
      </c>
      <c r="I213" s="15" t="s">
        <v>82</v>
      </c>
      <c r="N213" s="15" t="s">
        <v>7375</v>
      </c>
    </row>
    <row r="214" spans="1:14" x14ac:dyDescent="0.3">
      <c r="A214" s="15" t="s">
        <v>1390</v>
      </c>
      <c r="B214" s="12" t="str">
        <f>IFERROR(INDEX(Mots!$B:$B,MATCH($A214,Mots!$A:$A,0)),"introuvable")</f>
        <v>le prêt hypothécaire</v>
      </c>
      <c r="I214" s="15" t="s">
        <v>82</v>
      </c>
      <c r="N214" s="15" t="s">
        <v>7375</v>
      </c>
    </row>
    <row r="215" spans="1:14" x14ac:dyDescent="0.3">
      <c r="A215" s="15" t="s">
        <v>1394</v>
      </c>
      <c r="B215" s="12" t="str">
        <f>IFERROR(INDEX(Mots!$B:$B,MATCH($A215,Mots!$A:$A,0)),"introuvable")</f>
        <v>le billet de banque</v>
      </c>
      <c r="I215" s="15" t="s">
        <v>82</v>
      </c>
      <c r="N215" s="15" t="s">
        <v>7375</v>
      </c>
    </row>
    <row r="216" spans="1:14" x14ac:dyDescent="0.3">
      <c r="A216" s="15" t="s">
        <v>1398</v>
      </c>
      <c r="B216" s="12" t="str">
        <f>IFERROR(INDEX(Mots!$B:$B,MATCH($A216,Mots!$A:$A,0)),"introuvable")</f>
        <v>la pièce de monnaie</v>
      </c>
      <c r="C216" s="15" t="s">
        <v>4645</v>
      </c>
      <c r="I216" s="15" t="s">
        <v>82</v>
      </c>
      <c r="N216" s="15" t="s">
        <v>7375</v>
      </c>
    </row>
    <row r="217" spans="1:14" x14ac:dyDescent="0.3">
      <c r="A217" s="15" t="s">
        <v>1402</v>
      </c>
      <c r="B217" s="12" t="str">
        <f>IFERROR(INDEX(Mots!$B:$B,MATCH($A217,Mots!$A:$A,0)),"introuvable")</f>
        <v>le code</v>
      </c>
      <c r="I217" s="15" t="s">
        <v>82</v>
      </c>
      <c r="N217" s="15" t="s">
        <v>7375</v>
      </c>
    </row>
    <row r="218" spans="1:14" x14ac:dyDescent="0.3">
      <c r="A218" s="15" t="s">
        <v>1406</v>
      </c>
      <c r="B218" s="12" t="str">
        <f>IFERROR(INDEX(Mots!$B:$B,MATCH($A218,Mots!$A:$A,0)),"introuvable")</f>
        <v>le compte</v>
      </c>
      <c r="I218" s="15" t="s">
        <v>82</v>
      </c>
      <c r="N218" s="15" t="s">
        <v>7375</v>
      </c>
    </row>
    <row r="219" spans="1:14" x14ac:dyDescent="0.3">
      <c r="A219" s="15" t="s">
        <v>1410</v>
      </c>
      <c r="B219" s="12" t="str">
        <f>IFERROR(INDEX(Mots!$B:$B,MATCH($A219,Mots!$A:$A,0)),"introuvable")</f>
        <v>le guichet</v>
      </c>
      <c r="I219" s="15" t="s">
        <v>82</v>
      </c>
      <c r="N219" s="15" t="s">
        <v>7375</v>
      </c>
    </row>
    <row r="220" spans="1:14" x14ac:dyDescent="0.3">
      <c r="A220" s="15" t="s">
        <v>1414</v>
      </c>
      <c r="B220" s="12" t="str">
        <f>IFERROR(INDEX(Mots!$B:$B,MATCH($A220,Mots!$A:$A,0)),"introuvable")</f>
        <v>le retrait</v>
      </c>
      <c r="I220" s="15" t="s">
        <v>82</v>
      </c>
      <c r="N220" s="15" t="s">
        <v>7375</v>
      </c>
    </row>
    <row r="221" spans="1:14" x14ac:dyDescent="0.3">
      <c r="A221" s="15" t="s">
        <v>1418</v>
      </c>
      <c r="B221" s="12" t="str">
        <f>IFERROR(INDEX(Mots!$B:$B,MATCH($A221,Mots!$A:$A,0)),"introuvable")</f>
        <v>le solde</v>
      </c>
      <c r="I221" s="15" t="s">
        <v>82</v>
      </c>
      <c r="N221" s="15" t="s">
        <v>7375</v>
      </c>
    </row>
    <row r="222" spans="1:14" x14ac:dyDescent="0.3">
      <c r="A222" s="15" t="s">
        <v>1422</v>
      </c>
      <c r="B222" s="12" t="str">
        <f>IFERROR(INDEX(Mots!$B:$B,MATCH($A222,Mots!$A:$A,0)),"introuvable")</f>
        <v>le virement</v>
      </c>
      <c r="I222" s="15" t="s">
        <v>82</v>
      </c>
      <c r="N222" s="15" t="s">
        <v>7375</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7742</v>
      </c>
      <c r="I241" s="15" t="s">
        <v>702</v>
      </c>
      <c r="N241" s="15" t="s">
        <v>7711</v>
      </c>
    </row>
    <row r="242" spans="1:14" x14ac:dyDescent="0.3">
      <c r="A242" s="15" t="s">
        <v>1517</v>
      </c>
      <c r="B242" s="12" t="str">
        <f>IFERROR(INDEX(Mots!$B:$B,MATCH($A242,Mots!$A:$A,0)),"introuvable")</f>
        <v>un verre de vin rouge</v>
      </c>
      <c r="C242" s="15" t="s">
        <v>7742</v>
      </c>
      <c r="I242" s="15" t="s">
        <v>702</v>
      </c>
      <c r="N242" s="15" t="s">
        <v>7711</v>
      </c>
    </row>
    <row r="243" spans="1:14" x14ac:dyDescent="0.3">
      <c r="A243" s="15" t="s">
        <v>1521</v>
      </c>
      <c r="B243" s="12" t="str">
        <f>IFERROR(INDEX(Mots!$B:$B,MATCH($A243,Mots!$A:$A,0)),"introuvable")</f>
        <v>un verre de vin blanc</v>
      </c>
      <c r="C243" s="15" t="s">
        <v>7742</v>
      </c>
      <c r="I243" s="15" t="s">
        <v>702</v>
      </c>
      <c r="N243" s="15" t="s">
        <v>7711</v>
      </c>
    </row>
    <row r="244" spans="1:14" x14ac:dyDescent="0.3">
      <c r="A244" s="15" t="s">
        <v>1525</v>
      </c>
      <c r="B244" s="12" t="str">
        <f>IFERROR(INDEX(Mots!$B:$B,MATCH($A244,Mots!$A:$A,0)),"introuvable")</f>
        <v>une suze henniez</v>
      </c>
      <c r="I244" s="15" t="s">
        <v>702</v>
      </c>
      <c r="N244" s="15" t="s">
        <v>7711</v>
      </c>
    </row>
    <row r="245" spans="1:14" x14ac:dyDescent="0.3">
      <c r="A245" s="15" t="s">
        <v>1529</v>
      </c>
      <c r="B245" s="12" t="str">
        <f>IFERROR(INDEX(Mots!$B:$B,MATCH($A245,Mots!$A:$A,0)),"introuvable")</f>
        <v>le thé</v>
      </c>
      <c r="C245" s="15" t="s">
        <v>7742</v>
      </c>
      <c r="I245" s="15" t="s">
        <v>702</v>
      </c>
      <c r="N245" s="15" t="s">
        <v>7711</v>
      </c>
    </row>
    <row r="246" spans="1:14" x14ac:dyDescent="0.3">
      <c r="A246" s="15" t="s">
        <v>1533</v>
      </c>
      <c r="B246" s="12" t="str">
        <f>IFERROR(INDEX(Mots!$B:$B,MATCH($A246,Mots!$A:$A,0)),"introuvable")</f>
        <v>une eau minérale</v>
      </c>
      <c r="I246" s="15" t="s">
        <v>702</v>
      </c>
      <c r="N246" s="15" t="s">
        <v>7711</v>
      </c>
    </row>
    <row r="247" spans="1:14" x14ac:dyDescent="0.3">
      <c r="A247" s="15" t="s">
        <v>1537</v>
      </c>
      <c r="B247" s="12" t="str">
        <f>IFERROR(INDEX(Mots!$B:$B,MATCH($A247,Mots!$A:$A,0)),"introuvable")</f>
        <v>un henniez cassis</v>
      </c>
      <c r="I247" s="15" t="s">
        <v>702</v>
      </c>
      <c r="N247" s="15" t="s">
        <v>7711</v>
      </c>
    </row>
    <row r="248" spans="1:14" x14ac:dyDescent="0.3">
      <c r="A248" s="15" t="s">
        <v>1540</v>
      </c>
      <c r="B248" s="12" t="str">
        <f>IFERROR(INDEX(Mots!$B:$B,MATCH($A248,Mots!$A:$A,0)),"introuvable")</f>
        <v>un Coca Cola</v>
      </c>
      <c r="C248" s="15" t="s">
        <v>7742</v>
      </c>
      <c r="I248" s="15" t="s">
        <v>702</v>
      </c>
      <c r="N248" s="15" t="s">
        <v>7711</v>
      </c>
    </row>
    <row r="249" spans="1:14" x14ac:dyDescent="0.3">
      <c r="A249" s="15" t="s">
        <v>1545</v>
      </c>
      <c r="B249" s="12" t="str">
        <f>IFERROR(INDEX(Mots!$B:$B,MATCH($A249,Mots!$A:$A,0)),"introuvable")</f>
        <v>un grapefruit</v>
      </c>
      <c r="C249" s="15" t="s">
        <v>7740</v>
      </c>
      <c r="I249" s="15" t="s">
        <v>702</v>
      </c>
      <c r="N249" s="15" t="s">
        <v>7711</v>
      </c>
    </row>
    <row r="250" spans="1:14" x14ac:dyDescent="0.3">
      <c r="A250" s="15" t="s">
        <v>1548</v>
      </c>
      <c r="B250" s="12" t="str">
        <f>IFERROR(INDEX(Mots!$B:$B,MATCH($A250,Mots!$A:$A,0)),"introuvable")</f>
        <v>un jus de pomme</v>
      </c>
      <c r="C250" s="15" t="s">
        <v>7742</v>
      </c>
      <c r="I250" s="15" t="s">
        <v>702</v>
      </c>
      <c r="N250" s="15" t="s">
        <v>7711</v>
      </c>
    </row>
    <row r="251" spans="1:14" x14ac:dyDescent="0.3">
      <c r="A251" s="15" t="s">
        <v>1552</v>
      </c>
      <c r="B251" s="12" t="str">
        <f>IFERROR(INDEX(Mots!$B:$B,MATCH($A251,Mots!$A:$A,0)),"introuvable")</f>
        <v>un jus d'orange</v>
      </c>
      <c r="C251" s="15" t="s">
        <v>7742</v>
      </c>
      <c r="I251" s="15" t="s">
        <v>702</v>
      </c>
      <c r="N251" s="15" t="s">
        <v>7711</v>
      </c>
    </row>
    <row r="252" spans="1:14" x14ac:dyDescent="0.3">
      <c r="A252" s="15" t="s">
        <v>1555</v>
      </c>
      <c r="B252" s="12" t="str">
        <f>IFERROR(INDEX(Mots!$B:$B,MATCH($A252,Mots!$A:$A,0)),"introuvable")</f>
        <v>un Sprite</v>
      </c>
      <c r="I252" s="15" t="s">
        <v>702</v>
      </c>
      <c r="N252" s="15" t="s">
        <v>7711</v>
      </c>
    </row>
    <row r="253" spans="1:14" x14ac:dyDescent="0.3">
      <c r="A253" s="15" t="s">
        <v>1558</v>
      </c>
      <c r="B253" s="12" t="str">
        <f>IFERROR(INDEX(Mots!$B:$B,MATCH($A253,Mots!$A:$A,0)),"introuvable")</f>
        <v>le sirop</v>
      </c>
      <c r="C253" s="15" t="s">
        <v>7740</v>
      </c>
      <c r="I253" s="15" t="s">
        <v>702</v>
      </c>
      <c r="N253" s="15" t="s">
        <v>7711</v>
      </c>
    </row>
    <row r="254" spans="1:14" x14ac:dyDescent="0.3">
      <c r="A254" s="15" t="s">
        <v>1563</v>
      </c>
      <c r="B254" s="12" t="str">
        <f>IFERROR(INDEX(Mots!$B:$B,MATCH($A254,Mots!$A:$A,0)),"introuvable")</f>
        <v>les baskets</v>
      </c>
      <c r="N254" s="15" t="s">
        <v>7716</v>
      </c>
    </row>
    <row r="255" spans="1:14" x14ac:dyDescent="0.3">
      <c r="A255" s="15" t="s">
        <v>1568</v>
      </c>
      <c r="B255" s="12" t="str">
        <f>IFERROR(INDEX(Mots!$B:$B,MATCH($A255,Mots!$A:$A,0)),"introuvable")</f>
        <v>les souliers</v>
      </c>
      <c r="N255" s="15" t="s">
        <v>7716</v>
      </c>
    </row>
    <row r="256" spans="1:14" x14ac:dyDescent="0.3">
      <c r="A256" s="15" t="s">
        <v>1576</v>
      </c>
      <c r="B256" s="12" t="str">
        <f>IFERROR(INDEX(Mots!$B:$B,MATCH($A256,Mots!$A:$A,0)),"introuvable")</f>
        <v>les bottillons</v>
      </c>
      <c r="N256" s="15" t="s">
        <v>7716</v>
      </c>
    </row>
    <row r="257" spans="1:14" x14ac:dyDescent="0.3">
      <c r="A257" s="15" t="s">
        <v>1581</v>
      </c>
      <c r="B257" s="12" t="str">
        <f>IFERROR(INDEX(Mots!$B:$B,MATCH($A257,Mots!$A:$A,0)),"introuvable")</f>
        <v>la viande</v>
      </c>
      <c r="C257" s="15" t="s">
        <v>7740</v>
      </c>
      <c r="I257" s="15" t="s">
        <v>702</v>
      </c>
      <c r="N257" s="15" t="s">
        <v>7711</v>
      </c>
    </row>
    <row r="258" spans="1:14" x14ac:dyDescent="0.3">
      <c r="A258" s="15" t="s">
        <v>1585</v>
      </c>
      <c r="B258" s="12" t="str">
        <f>IFERROR(INDEX(Mots!$B:$B,MATCH($A258,Mots!$A:$A,0)),"introuvable")</f>
        <v>le lait</v>
      </c>
      <c r="C258" s="15" t="s">
        <v>1169</v>
      </c>
      <c r="I258" s="15" t="s">
        <v>702</v>
      </c>
      <c r="N258" s="15" t="s">
        <v>7711</v>
      </c>
    </row>
    <row r="259" spans="1:14" x14ac:dyDescent="0.3">
      <c r="A259" s="15" t="s">
        <v>1594</v>
      </c>
      <c r="B259" s="12" t="str">
        <f>IFERROR(INDEX(Mots!$B:$B,MATCH($A259,Mots!$A:$A,0)),"introuvable")</f>
        <v>l'huile</v>
      </c>
      <c r="C259" s="15" t="s">
        <v>1169</v>
      </c>
      <c r="I259" s="15" t="s">
        <v>702</v>
      </c>
      <c r="N259" s="15" t="s">
        <v>7711</v>
      </c>
    </row>
    <row r="260" spans="1:14" x14ac:dyDescent="0.3">
      <c r="A260" s="15" t="s">
        <v>1598</v>
      </c>
      <c r="B260" s="12" t="str">
        <f>IFERROR(INDEX(Mots!$B:$B,MATCH($A260,Mots!$A:$A,0)),"introuvable")</f>
        <v>l'oeuf</v>
      </c>
      <c r="C260" s="15" t="s">
        <v>1169</v>
      </c>
      <c r="I260" s="15" t="s">
        <v>702</v>
      </c>
      <c r="N260" s="15" t="s">
        <v>7711</v>
      </c>
    </row>
    <row r="261" spans="1:14" x14ac:dyDescent="0.3">
      <c r="A261" s="15" t="s">
        <v>1603</v>
      </c>
      <c r="B261" s="12" t="str">
        <f>IFERROR(INDEX(Mots!$B:$B,MATCH($A261,Mots!$A:$A,0)),"introuvable")</f>
        <v>le gâteau</v>
      </c>
      <c r="C261" s="15" t="s">
        <v>7740</v>
      </c>
      <c r="I261" s="15" t="s">
        <v>702</v>
      </c>
      <c r="N261" s="15" t="s">
        <v>7711</v>
      </c>
    </row>
    <row r="262" spans="1:14" x14ac:dyDescent="0.3">
      <c r="A262" s="15" t="s">
        <v>1608</v>
      </c>
      <c r="B262" s="12" t="str">
        <f>IFERROR(INDEX(Mots!$B:$B,MATCH($A262,Mots!$A:$A,0)),"introuvable")</f>
        <v>la forêt</v>
      </c>
      <c r="C262" s="15" t="s">
        <v>2811</v>
      </c>
      <c r="I262" s="15" t="s">
        <v>3780</v>
      </c>
      <c r="N262" s="15" t="s">
        <v>7725</v>
      </c>
    </row>
    <row r="263" spans="1:14" x14ac:dyDescent="0.3">
      <c r="A263" s="15" t="s">
        <v>1617</v>
      </c>
      <c r="B263" s="12" t="str">
        <f>IFERROR(INDEX(Mots!$B:$B,MATCH($A263,Mots!$A:$A,0)),"introuvable")</f>
        <v>la mer</v>
      </c>
      <c r="I263" s="15" t="s">
        <v>3780</v>
      </c>
      <c r="N263" s="15" t="s">
        <v>7725</v>
      </c>
    </row>
    <row r="264" spans="1:14" x14ac:dyDescent="0.3">
      <c r="A264" s="15" t="s">
        <v>1622</v>
      </c>
      <c r="B264" s="12" t="str">
        <f>IFERROR(INDEX(Mots!$B:$B,MATCH($A264,Mots!$A:$A,0)),"introuvable")</f>
        <v>la montagne</v>
      </c>
      <c r="I264" s="15" t="s">
        <v>3780</v>
      </c>
      <c r="N264" s="15" t="s">
        <v>7725</v>
      </c>
    </row>
    <row r="265" spans="1:14" x14ac:dyDescent="0.3">
      <c r="A265" s="15" t="s">
        <v>1627</v>
      </c>
      <c r="B265" s="12" t="str">
        <f>IFERROR(INDEX(Mots!$B:$B,MATCH($A265,Mots!$A:$A,0)),"introuvable")</f>
        <v>la rivière</v>
      </c>
      <c r="I265" s="15" t="s">
        <v>3780</v>
      </c>
      <c r="N265" s="15" t="s">
        <v>7725</v>
      </c>
    </row>
    <row r="266" spans="1:14" x14ac:dyDescent="0.3">
      <c r="A266" s="15" t="s">
        <v>1630</v>
      </c>
      <c r="B266" s="12" t="str">
        <f>IFERROR(INDEX(Mots!$B:$B,MATCH($A266,Mots!$A:$A,0)),"introuvable")</f>
        <v>le rocher</v>
      </c>
      <c r="C266" s="15" t="s">
        <v>4645</v>
      </c>
      <c r="I266" s="15" t="s">
        <v>3780</v>
      </c>
      <c r="N266" s="15" t="s">
        <v>7725</v>
      </c>
    </row>
    <row r="267" spans="1:14" x14ac:dyDescent="0.3">
      <c r="A267" s="15" t="s">
        <v>1639</v>
      </c>
      <c r="B267" s="12" t="str">
        <f>IFERROR(INDEX(Mots!$B:$B,MATCH($A267,Mots!$A:$A,0)),"introuvable")</f>
        <v>la lune</v>
      </c>
      <c r="I267" s="15" t="s">
        <v>3780</v>
      </c>
      <c r="N267" s="15" t="s">
        <v>7725</v>
      </c>
    </row>
    <row r="268" spans="1:14" x14ac:dyDescent="0.3">
      <c r="A268" s="15" t="s">
        <v>1648</v>
      </c>
      <c r="B268" s="12" t="str">
        <f>IFERROR(INDEX(Mots!$B:$B,MATCH($A268,Mots!$A:$A,0)),"introuvable")</f>
        <v>la terre</v>
      </c>
      <c r="I268" s="15" t="s">
        <v>3780</v>
      </c>
      <c r="N268" s="15" t="s">
        <v>7725</v>
      </c>
    </row>
    <row r="269" spans="1:14" x14ac:dyDescent="0.3">
      <c r="A269" s="15" t="s">
        <v>1661</v>
      </c>
      <c r="B269" s="12" t="str">
        <f>IFERROR(INDEX(Mots!$B:$B,MATCH($A269,Mots!$A:$A,0)),"introuvable")</f>
        <v>le ciel</v>
      </c>
      <c r="I269" s="15" t="s">
        <v>3780</v>
      </c>
      <c r="N269" s="15" t="s">
        <v>7725</v>
      </c>
    </row>
    <row r="270" spans="1:14" x14ac:dyDescent="0.3">
      <c r="A270" s="15" t="s">
        <v>1665</v>
      </c>
      <c r="B270" s="12" t="str">
        <f>IFERROR(INDEX(Mots!$B:$B,MATCH($A270,Mots!$A:$A,0)),"introuvable")</f>
        <v>le feu</v>
      </c>
      <c r="I270" s="15" t="s">
        <v>3780</v>
      </c>
      <c r="N270" s="15" t="s">
        <v>7725</v>
      </c>
    </row>
    <row r="271" spans="1:14" x14ac:dyDescent="0.3">
      <c r="A271" s="15" t="s">
        <v>1669</v>
      </c>
      <c r="B271" s="12" t="str">
        <f>IFERROR(INDEX(Mots!$B:$B,MATCH($A271,Mots!$A:$A,0)),"introuvable")</f>
        <v>le soleil</v>
      </c>
      <c r="I271" s="15" t="s">
        <v>3780</v>
      </c>
      <c r="N271" s="15" t="s">
        <v>7725</v>
      </c>
    </row>
    <row r="272" spans="1:14" x14ac:dyDescent="0.3">
      <c r="A272" s="15" t="s">
        <v>1678</v>
      </c>
      <c r="B272" s="12" t="str">
        <f>IFERROR(INDEX(Mots!$B:$B,MATCH($A272,Mots!$A:$A,0)),"introuvable")</f>
        <v>l'eau</v>
      </c>
      <c r="I272" s="15" t="s">
        <v>3780</v>
      </c>
      <c r="N272" s="15" t="s">
        <v>7725</v>
      </c>
    </row>
    <row r="273" spans="1:27" x14ac:dyDescent="0.3">
      <c r="A273" s="15" t="s">
        <v>1686</v>
      </c>
      <c r="B273" s="12" t="str">
        <f>IFERROR(INDEX(Mots!$B:$B,MATCH($A273,Mots!$A:$A,0)),"introuvable")</f>
        <v>l'incendie</v>
      </c>
      <c r="I273" s="15" t="s">
        <v>3780</v>
      </c>
      <c r="N273" s="15" t="s">
        <v>7725</v>
      </c>
    </row>
    <row r="274" spans="1:27" x14ac:dyDescent="0.3">
      <c r="A274" s="15" t="s">
        <v>1690</v>
      </c>
      <c r="B274" s="12" t="str">
        <f>IFERROR(INDEX(Mots!$B:$B,MATCH($A274,Mots!$A:$A,0)),"introuvable")</f>
        <v>la colère</v>
      </c>
      <c r="Z274" s="15" t="s">
        <v>7790</v>
      </c>
    </row>
    <row r="275" spans="1:27" x14ac:dyDescent="0.3">
      <c r="A275" s="15" t="s">
        <v>1697</v>
      </c>
      <c r="B275" s="12" t="str">
        <f>IFERROR(INDEX(Mots!$B:$B,MATCH($A275,Mots!$A:$A,0)),"introuvable")</f>
        <v>la peur</v>
      </c>
      <c r="Z275" s="15" t="s">
        <v>7790</v>
      </c>
    </row>
    <row r="276" spans="1:27" x14ac:dyDescent="0.3">
      <c r="A276" s="15" t="s">
        <v>1703</v>
      </c>
      <c r="B276" s="12" t="str">
        <f>IFERROR(INDEX(Mots!$B:$B,MATCH($A276,Mots!$A:$A,0)),"introuvable")</f>
        <v>la solitude</v>
      </c>
      <c r="Z276" s="15" t="s">
        <v>7790</v>
      </c>
    </row>
    <row r="277" spans="1:27" x14ac:dyDescent="0.3">
      <c r="A277" s="15" t="s">
        <v>1711</v>
      </c>
      <c r="B277" s="12" t="str">
        <f>IFERROR(INDEX(Mots!$B:$B,MATCH($A277,Mots!$A:$A,0)),"introuvable")</f>
        <v>la tristesse</v>
      </c>
      <c r="Z277" s="15" t="s">
        <v>7790</v>
      </c>
    </row>
    <row r="278" spans="1:27" x14ac:dyDescent="0.3">
      <c r="A278" s="15" t="s">
        <v>1718</v>
      </c>
      <c r="B278" s="12" t="str">
        <f>IFERROR(INDEX(Mots!$B:$B,MATCH($A278,Mots!$A:$A,0)),"introuvable")</f>
        <v>la confiance</v>
      </c>
      <c r="Z278" s="15" t="s">
        <v>7788</v>
      </c>
    </row>
    <row r="279" spans="1:27" x14ac:dyDescent="0.3">
      <c r="A279" s="15" t="s">
        <v>1723</v>
      </c>
      <c r="B279" s="12" t="str">
        <f>IFERROR(INDEX(Mots!$B:$B,MATCH($A279,Mots!$A:$A,0)),"introuvable")</f>
        <v>la fierté</v>
      </c>
      <c r="Z279" s="15" t="s">
        <v>7788</v>
      </c>
    </row>
    <row r="280" spans="1:27" x14ac:dyDescent="0.3">
      <c r="A280" s="15" t="s">
        <v>1729</v>
      </c>
      <c r="B280" s="12" t="str">
        <f>IFERROR(INDEX(Mots!$B:$B,MATCH($A280,Mots!$A:$A,0)),"introuvable")</f>
        <v>la gratitude</v>
      </c>
      <c r="Z280" s="15" t="s">
        <v>7788</v>
      </c>
    </row>
    <row r="281" spans="1:27" x14ac:dyDescent="0.3">
      <c r="A281" s="15" t="s">
        <v>1736</v>
      </c>
      <c r="B281" s="12" t="str">
        <f>IFERROR(INDEX(Mots!$B:$B,MATCH($A281,Mots!$A:$A,0)),"introuvable")</f>
        <v>la joie</v>
      </c>
      <c r="Z281" s="15" t="s">
        <v>7788</v>
      </c>
    </row>
    <row r="282" spans="1:27" x14ac:dyDescent="0.3">
      <c r="A282" s="15" t="s">
        <v>1744</v>
      </c>
      <c r="B282" s="12" t="str">
        <f>IFERROR(INDEX(Mots!$B:$B,MATCH($A282,Mots!$A:$A,0)),"introuvable")</f>
        <v>la surprise</v>
      </c>
      <c r="Z282" s="15" t="s">
        <v>7788</v>
      </c>
    </row>
    <row r="283" spans="1:27" x14ac:dyDescent="0.3">
      <c r="A283" s="15" t="s">
        <v>1750</v>
      </c>
      <c r="B283" s="12" t="str">
        <f>IFERROR(INDEX(Mots!$B:$B,MATCH($A283,Mots!$A:$A,0)),"introuvable")</f>
        <v>l'amour</v>
      </c>
      <c r="Z283" s="15" t="s">
        <v>7788</v>
      </c>
    </row>
    <row r="284" spans="1:27" x14ac:dyDescent="0.3">
      <c r="A284" s="15" t="s">
        <v>1758</v>
      </c>
      <c r="B284" s="12" t="str">
        <f>IFERROR(INDEX(Mots!$B:$B,MATCH($A284,Mots!$A:$A,0)),"introuvable")</f>
        <v>le bonheur</v>
      </c>
      <c r="Z284" s="15" t="s">
        <v>7788</v>
      </c>
    </row>
    <row r="285" spans="1:27" x14ac:dyDescent="0.3">
      <c r="A285" s="15" t="s">
        <v>1764</v>
      </c>
      <c r="B285" s="12" t="str">
        <f>IFERROR(INDEX(Mots!$B:$B,MATCH($A285,Mots!$A:$A,0)),"introuvable")</f>
        <v>le courage</v>
      </c>
      <c r="Z285" s="15" t="s">
        <v>7788</v>
      </c>
      <c r="AA285" s="15" t="s">
        <v>7790</v>
      </c>
    </row>
    <row r="286" spans="1:27" x14ac:dyDescent="0.3">
      <c r="A286" s="15" t="s">
        <v>1778</v>
      </c>
      <c r="B286" s="12" t="str">
        <f>IFERROR(INDEX(Mots!$B:$B,MATCH($A286,Mots!$A:$A,0)),"introuvable")</f>
        <v>l'espoir</v>
      </c>
      <c r="Z286" s="15" t="s">
        <v>7788</v>
      </c>
    </row>
    <row r="287" spans="1:27" x14ac:dyDescent="0.3">
      <c r="A287" s="15" t="s">
        <v>1785</v>
      </c>
      <c r="B287" s="12" t="str">
        <f>IFERROR(INDEX(Mots!$B:$B,MATCH($A287,Mots!$A:$A,0)),"introuvable")</f>
        <v>l'auberge du Godet</v>
      </c>
      <c r="I287" s="15" t="s">
        <v>3780</v>
      </c>
      <c r="N287" s="15" t="s">
        <v>7725</v>
      </c>
    </row>
    <row r="288" spans="1:27" x14ac:dyDescent="0.3">
      <c r="A288" s="15" t="s">
        <v>1789</v>
      </c>
      <c r="B288" s="12" t="str">
        <f>IFERROR(INDEX(Mots!$B:$B,MATCH($A288,Mots!$A:$A,0)),"introuvable")</f>
        <v>le Refuge du Lac à Derborence</v>
      </c>
      <c r="I288" s="15" t="s">
        <v>3780</v>
      </c>
      <c r="N288" s="15" t="s">
        <v>7725</v>
      </c>
    </row>
    <row r="289" spans="1:14" x14ac:dyDescent="0.3">
      <c r="A289" s="15" t="s">
        <v>1793</v>
      </c>
      <c r="B289" s="12" t="str">
        <f>IFERROR(INDEX(Mots!$B:$B,MATCH($A289,Mots!$A:$A,0)),"introuvable")</f>
        <v>le lac de Derborence</v>
      </c>
      <c r="I289" s="15" t="s">
        <v>3780</v>
      </c>
      <c r="N289" s="15" t="s">
        <v>7725</v>
      </c>
    </row>
    <row r="290" spans="1:14" x14ac:dyDescent="0.3">
      <c r="A290" s="15" t="s">
        <v>1797</v>
      </c>
      <c r="B290" s="12" t="str">
        <f>IFERROR(INDEX(Mots!$B:$B,MATCH($A290,Mots!$A:$A,0)),"introuvable")</f>
        <v>la buvette de Dorbon</v>
      </c>
      <c r="I290" s="15" t="s">
        <v>3780</v>
      </c>
      <c r="N290" s="15" t="s">
        <v>7725</v>
      </c>
    </row>
    <row r="291" spans="1:14" x14ac:dyDescent="0.3">
      <c r="A291" s="15" t="s">
        <v>1801</v>
      </c>
      <c r="B291" s="12" t="str">
        <f>IFERROR(INDEX(Mots!$B:$B,MATCH($A291,Mots!$A:$A,0)),"introuvable")</f>
        <v>l'alpage d'Airoz ou Aïre</v>
      </c>
      <c r="I291" s="15" t="s">
        <v>3780</v>
      </c>
      <c r="N291" s="15" t="s">
        <v>7725</v>
      </c>
    </row>
    <row r="292" spans="1:14" x14ac:dyDescent="0.3">
      <c r="A292" s="15" t="s">
        <v>1805</v>
      </c>
      <c r="B292" s="12" t="str">
        <f>IFERROR(INDEX(Mots!$B:$B,MATCH($A292,Mots!$A:$A,0)),"introuvable")</f>
        <v>l'alpage de Flore</v>
      </c>
      <c r="I292" s="15" t="s">
        <v>3780</v>
      </c>
      <c r="N292" s="15" t="s">
        <v>7725</v>
      </c>
    </row>
    <row r="293" spans="1:14" x14ac:dyDescent="0.3">
      <c r="A293" s="15" t="s">
        <v>1809</v>
      </c>
      <c r="B293" s="12" t="str">
        <f>IFERROR(INDEX(Mots!$B:$B,MATCH($A293,Mots!$A:$A,0)),"introuvable")</f>
        <v>le lac des Trente pas</v>
      </c>
      <c r="I293" s="15" t="s">
        <v>3780</v>
      </c>
      <c r="N293" s="15" t="s">
        <v>7725</v>
      </c>
    </row>
    <row r="294" spans="1:14" x14ac:dyDescent="0.3">
      <c r="A294" s="15" t="s">
        <v>1813</v>
      </c>
      <c r="B294" s="12" t="str">
        <f>IFERROR(INDEX(Mots!$B:$B,MATCH($A294,Mots!$A:$A,0)),"introuvable")</f>
        <v>la croix de la Chia</v>
      </c>
      <c r="I294" s="15" t="s">
        <v>3780</v>
      </c>
      <c r="N294" s="15" t="s">
        <v>7725</v>
      </c>
    </row>
    <row r="295" spans="1:14" x14ac:dyDescent="0.3">
      <c r="A295" s="15" t="s">
        <v>1817</v>
      </c>
      <c r="B295" s="12" t="str">
        <f>IFERROR(INDEX(Mots!$B:$B,MATCH($A295,Mots!$A:$A,0)),"introuvable")</f>
        <v>le Gîte de Lodze</v>
      </c>
      <c r="I295" s="15" t="s">
        <v>3780</v>
      </c>
      <c r="N295" s="15" t="s">
        <v>7725</v>
      </c>
    </row>
    <row r="296" spans="1:14" x14ac:dyDescent="0.3">
      <c r="A296" s="15" t="s">
        <v>10376</v>
      </c>
      <c r="B296" s="12" t="str">
        <f>IFERROR(INDEX(Mots!$B:$B,MATCH($A296,Mots!$A:$A,0)),"introuvable")</f>
        <v>le restaurant de la Grand-Zour</v>
      </c>
      <c r="I296" s="15" t="s">
        <v>3780</v>
      </c>
      <c r="N296" s="15" t="s">
        <v>7725</v>
      </c>
    </row>
    <row r="297" spans="1:14" x14ac:dyDescent="0.3">
      <c r="A297" s="15" t="s">
        <v>10377</v>
      </c>
      <c r="B297" s="12" t="str">
        <f>IFERROR(INDEX(Mots!$B:$B,MATCH($A297,Mots!$A:$A,0)),"introuvable")</f>
        <v>la cabane de Prarochet</v>
      </c>
      <c r="I297" s="15" t="s">
        <v>3780</v>
      </c>
      <c r="N297" s="15" t="s">
        <v>7725</v>
      </c>
    </row>
    <row r="298" spans="1:14" x14ac:dyDescent="0.3">
      <c r="A298" s="15" t="s">
        <v>1825</v>
      </c>
      <c r="B298" s="12" t="str">
        <f>IFERROR(INDEX(Mots!$B:$B,MATCH($A298,Mots!$A:$A,0)),"introuvable")</f>
        <v>le barrage de la Grande Dixence</v>
      </c>
      <c r="I298" s="15" t="s">
        <v>3780</v>
      </c>
      <c r="N298" s="15" t="s">
        <v>7725</v>
      </c>
    </row>
    <row r="299" spans="1:14" x14ac:dyDescent="0.3">
      <c r="A299" s="15" t="s">
        <v>1829</v>
      </c>
      <c r="B299" s="12" t="str">
        <f>IFERROR(INDEX(Mots!$B:$B,MATCH($A299,Mots!$A:$A,0)),"introuvable")</f>
        <v>l'argent</v>
      </c>
      <c r="I299" s="15" t="s">
        <v>73</v>
      </c>
      <c r="N299" s="15" t="s">
        <v>7375</v>
      </c>
    </row>
    <row r="300" spans="1:14" x14ac:dyDescent="0.3">
      <c r="A300" s="15" t="s">
        <v>1837</v>
      </c>
      <c r="B300" s="12" t="str">
        <f>IFERROR(INDEX(Mots!$B:$B,MATCH($A300,Mots!$A:$A,0)),"introuvable")</f>
        <v>le salaire</v>
      </c>
      <c r="I300" s="15" t="s">
        <v>73</v>
      </c>
      <c r="N300" s="15" t="s">
        <v>7375</v>
      </c>
    </row>
    <row r="301" spans="1:14" x14ac:dyDescent="0.3">
      <c r="A301" s="15" t="s">
        <v>1842</v>
      </c>
      <c r="B301" s="12" t="str">
        <f>IFERROR(INDEX(Mots!$B:$B,MATCH($A301,Mots!$A:$A,0)),"introuvable")</f>
        <v>le fruit</v>
      </c>
      <c r="C301" s="15" t="s">
        <v>7740</v>
      </c>
      <c r="I301" s="15" t="s">
        <v>702</v>
      </c>
      <c r="N301" s="15" t="s">
        <v>7711</v>
      </c>
    </row>
    <row r="302" spans="1:14" x14ac:dyDescent="0.3">
      <c r="A302" s="15" t="s">
        <v>1848</v>
      </c>
      <c r="B302" s="12" t="str">
        <f>IFERROR(INDEX(Mots!$B:$B,MATCH($A302,Mots!$A:$A,0)),"introuvable")</f>
        <v>la pomme</v>
      </c>
      <c r="C302" s="15" t="s">
        <v>7740</v>
      </c>
      <c r="I302" s="15" t="s">
        <v>702</v>
      </c>
      <c r="N302" s="15" t="s">
        <v>7711</v>
      </c>
    </row>
    <row r="303" spans="1:14" x14ac:dyDescent="0.3">
      <c r="A303" s="15" t="s">
        <v>1853</v>
      </c>
      <c r="B303" s="12" t="str">
        <f>IFERROR(INDEX(Mots!$B:$B,MATCH($A303,Mots!$A:$A,0)),"introuvable")</f>
        <v>la poire</v>
      </c>
      <c r="C303" s="15" t="s">
        <v>7740</v>
      </c>
      <c r="I303" s="15" t="s">
        <v>702</v>
      </c>
      <c r="N303" s="15" t="s">
        <v>7711</v>
      </c>
    </row>
    <row r="304" spans="1:14" x14ac:dyDescent="0.3">
      <c r="A304" s="15" t="s">
        <v>1858</v>
      </c>
      <c r="B304" s="12" t="str">
        <f>IFERROR(INDEX(Mots!$B:$B,MATCH($A304,Mots!$A:$A,0)),"introuvable")</f>
        <v>le pruneau</v>
      </c>
      <c r="C304" s="15" t="s">
        <v>7740</v>
      </c>
      <c r="I304" s="15" t="s">
        <v>702</v>
      </c>
      <c r="N304" s="15" t="s">
        <v>7711</v>
      </c>
    </row>
    <row r="305" spans="1:14" x14ac:dyDescent="0.3">
      <c r="A305" s="15" t="s">
        <v>1863</v>
      </c>
      <c r="B305" s="12" t="str">
        <f>IFERROR(INDEX(Mots!$B:$B,MATCH($A305,Mots!$A:$A,0)),"introuvable")</f>
        <v>la cerise</v>
      </c>
      <c r="C305" s="15" t="s">
        <v>7740</v>
      </c>
      <c r="I305" s="15" t="s">
        <v>702</v>
      </c>
      <c r="N305" s="15" t="s">
        <v>7711</v>
      </c>
    </row>
    <row r="306" spans="1:14" x14ac:dyDescent="0.3">
      <c r="A306" s="15" t="s">
        <v>1868</v>
      </c>
      <c r="B306" s="12" t="str">
        <f>IFERROR(INDEX(Mots!$B:$B,MATCH($A306,Mots!$A:$A,0)),"introuvable")</f>
        <v>l'abricot</v>
      </c>
      <c r="C306" s="15" t="s">
        <v>7740</v>
      </c>
      <c r="I306" s="15" t="s">
        <v>702</v>
      </c>
      <c r="N306" s="15" t="s">
        <v>7711</v>
      </c>
    </row>
    <row r="307" spans="1:14" x14ac:dyDescent="0.3">
      <c r="A307" s="15" t="s">
        <v>1872</v>
      </c>
      <c r="B307" s="12" t="str">
        <f>IFERROR(INDEX(Mots!$B:$B,MATCH($A307,Mots!$A:$A,0)),"introuvable")</f>
        <v>la fraise</v>
      </c>
      <c r="C307" s="15" t="s">
        <v>7740</v>
      </c>
      <c r="I307" s="15" t="s">
        <v>702</v>
      </c>
      <c r="N307" s="15" t="s">
        <v>7711</v>
      </c>
    </row>
    <row r="308" spans="1:14" x14ac:dyDescent="0.3">
      <c r="A308" s="15" t="s">
        <v>1876</v>
      </c>
      <c r="B308" s="12" t="str">
        <f>IFERROR(INDEX(Mots!$B:$B,MATCH($A308,Mots!$A:$A,0)),"introuvable")</f>
        <v>la framboise</v>
      </c>
      <c r="C308" s="15" t="s">
        <v>7740</v>
      </c>
      <c r="I308" s="15" t="s">
        <v>702</v>
      </c>
      <c r="N308" s="15" t="s">
        <v>7711</v>
      </c>
    </row>
    <row r="309" spans="1:14" x14ac:dyDescent="0.3">
      <c r="A309" s="15" t="s">
        <v>1880</v>
      </c>
      <c r="B309" s="12" t="str">
        <f>IFERROR(INDEX(Mots!$B:$B,MATCH($A309,Mots!$A:$A,0)),"introuvable")</f>
        <v>la banane</v>
      </c>
      <c r="C309" s="15" t="s">
        <v>7740</v>
      </c>
      <c r="I309" s="15" t="s">
        <v>702</v>
      </c>
      <c r="N309" s="15" t="s">
        <v>7711</v>
      </c>
    </row>
    <row r="310" spans="1:14" x14ac:dyDescent="0.3">
      <c r="A310" s="15" t="s">
        <v>1885</v>
      </c>
      <c r="B310" s="12" t="str">
        <f>IFERROR(INDEX(Mots!$B:$B,MATCH($A310,Mots!$A:$A,0)),"introuvable")</f>
        <v>l'orange</v>
      </c>
      <c r="C310" s="15" t="s">
        <v>7740</v>
      </c>
      <c r="I310" s="15" t="s">
        <v>702</v>
      </c>
      <c r="N310" s="15" t="s">
        <v>7711</v>
      </c>
    </row>
    <row r="311" spans="1:14" x14ac:dyDescent="0.3">
      <c r="A311" s="15" t="s">
        <v>1890</v>
      </c>
      <c r="B311" s="12" t="str">
        <f>IFERROR(INDEX(Mots!$B:$B,MATCH($A311,Mots!$A:$A,0)),"introuvable")</f>
        <v>la mandarine</v>
      </c>
      <c r="C311" s="15" t="s">
        <v>7740</v>
      </c>
      <c r="I311" s="15" t="s">
        <v>702</v>
      </c>
      <c r="N311" s="15" t="s">
        <v>7711</v>
      </c>
    </row>
    <row r="312" spans="1:14" x14ac:dyDescent="0.3">
      <c r="A312" s="15" t="s">
        <v>1895</v>
      </c>
      <c r="B312" s="12" t="str">
        <f>IFERROR(INDEX(Mots!$B:$B,MATCH($A312,Mots!$A:$A,0)),"introuvable")</f>
        <v>l'avocat</v>
      </c>
      <c r="C312" s="15" t="s">
        <v>2811</v>
      </c>
      <c r="I312" s="15" t="s">
        <v>702</v>
      </c>
      <c r="N312" s="15" t="s">
        <v>7711</v>
      </c>
    </row>
    <row r="313" spans="1:14" x14ac:dyDescent="0.3">
      <c r="A313" s="15" t="s">
        <v>1899</v>
      </c>
      <c r="B313" s="12" t="str">
        <f>IFERROR(INDEX(Mots!$B:$B,MATCH($A313,Mots!$A:$A,0)),"introuvable")</f>
        <v>la noix</v>
      </c>
      <c r="C313" s="15" t="s">
        <v>7740</v>
      </c>
      <c r="I313" s="15" t="s">
        <v>702</v>
      </c>
      <c r="N313" s="15" t="s">
        <v>7711</v>
      </c>
    </row>
    <row r="314" spans="1:14" x14ac:dyDescent="0.3">
      <c r="A314" s="15" t="s">
        <v>1903</v>
      </c>
      <c r="B314" s="12" t="str">
        <f>IFERROR(INDEX(Mots!$B:$B,MATCH($A314,Mots!$A:$A,0)),"introuvable")</f>
        <v>la pêche</v>
      </c>
      <c r="C314" s="15" t="s">
        <v>7740</v>
      </c>
      <c r="I314" s="15" t="s">
        <v>702</v>
      </c>
      <c r="N314" s="15" t="s">
        <v>7711</v>
      </c>
    </row>
    <row r="315" spans="1:14" x14ac:dyDescent="0.3">
      <c r="A315" s="15" t="s">
        <v>1907</v>
      </c>
      <c r="B315" s="12" t="str">
        <f>IFERROR(INDEX(Mots!$B:$B,MATCH($A315,Mots!$A:$A,0)),"introuvable")</f>
        <v>le raisin</v>
      </c>
      <c r="C315" s="15" t="s">
        <v>7740</v>
      </c>
      <c r="I315" s="15" t="s">
        <v>702</v>
      </c>
      <c r="N315" s="15" t="s">
        <v>7711</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4645</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7731</v>
      </c>
      <c r="I323" s="15" t="s">
        <v>7709</v>
      </c>
      <c r="N323" s="15" t="s">
        <v>7723</v>
      </c>
    </row>
    <row r="324" spans="1:14" x14ac:dyDescent="0.3">
      <c r="A324" s="15" t="s">
        <v>1946</v>
      </c>
      <c r="B324" s="12" t="str">
        <f>IFERROR(INDEX(Mots!$B:$B,MATCH($A324,Mots!$A:$A,0)),"introuvable")</f>
        <v>le piano</v>
      </c>
      <c r="C324" s="15" t="s">
        <v>7731</v>
      </c>
      <c r="I324" s="15" t="s">
        <v>7709</v>
      </c>
      <c r="N324" s="15" t="s">
        <v>7723</v>
      </c>
    </row>
    <row r="325" spans="1:14" x14ac:dyDescent="0.3">
      <c r="A325" s="15" t="s">
        <v>1950</v>
      </c>
      <c r="B325" s="12" t="str">
        <f>IFERROR(INDEX(Mots!$B:$B,MATCH($A325,Mots!$A:$A,0)),"introuvable")</f>
        <v>la batterie</v>
      </c>
      <c r="C325" s="15" t="s">
        <v>7731</v>
      </c>
      <c r="I325" s="15" t="s">
        <v>7709</v>
      </c>
      <c r="N325" s="15" t="s">
        <v>7723</v>
      </c>
    </row>
    <row r="326" spans="1:14" x14ac:dyDescent="0.3">
      <c r="A326" s="15" t="s">
        <v>1954</v>
      </c>
      <c r="B326" s="12" t="str">
        <f>IFERROR(INDEX(Mots!$B:$B,MATCH($A326,Mots!$A:$A,0)),"introuvable")</f>
        <v>la grosse caisse</v>
      </c>
      <c r="C326" s="15" t="s">
        <v>7731</v>
      </c>
      <c r="I326" s="15" t="s">
        <v>7709</v>
      </c>
      <c r="N326" s="15" t="s">
        <v>7723</v>
      </c>
    </row>
    <row r="327" spans="1:14" x14ac:dyDescent="0.3">
      <c r="A327" s="15" t="s">
        <v>1958</v>
      </c>
      <c r="B327" s="12" t="str">
        <f>IFERROR(INDEX(Mots!$B:$B,MATCH($A327,Mots!$A:$A,0)),"introuvable")</f>
        <v>les cymbales</v>
      </c>
      <c r="C327" s="15" t="s">
        <v>7731</v>
      </c>
      <c r="I327" s="15" t="s">
        <v>7709</v>
      </c>
      <c r="N327" s="15" t="s">
        <v>7723</v>
      </c>
    </row>
    <row r="328" spans="1:14" x14ac:dyDescent="0.3">
      <c r="A328" s="15" t="s">
        <v>1961</v>
      </c>
      <c r="B328" s="12" t="str">
        <f>IFERROR(INDEX(Mots!$B:$B,MATCH($A328,Mots!$A:$A,0)),"introuvable")</f>
        <v>les timbales</v>
      </c>
      <c r="C328" s="15" t="s">
        <v>7731</v>
      </c>
      <c r="I328" s="15" t="s">
        <v>7709</v>
      </c>
      <c r="N328" s="15" t="s">
        <v>7723</v>
      </c>
    </row>
    <row r="329" spans="1:14" x14ac:dyDescent="0.3">
      <c r="A329" s="15" t="s">
        <v>1964</v>
      </c>
      <c r="B329" s="12" t="str">
        <f>IFERROR(INDEX(Mots!$B:$B,MATCH($A329,Mots!$A:$A,0)),"introuvable")</f>
        <v>le xylophone</v>
      </c>
      <c r="C329" s="15" t="s">
        <v>7731</v>
      </c>
      <c r="I329" s="15" t="s">
        <v>7709</v>
      </c>
      <c r="N329" s="15" t="s">
        <v>7723</v>
      </c>
    </row>
    <row r="330" spans="1:14" x14ac:dyDescent="0.3">
      <c r="A330" s="15" t="s">
        <v>1967</v>
      </c>
      <c r="B330" s="12" t="str">
        <f>IFERROR(INDEX(Mots!$B:$B,MATCH($A330,Mots!$A:$A,0)),"introuvable")</f>
        <v>le vibraphone</v>
      </c>
      <c r="C330" s="15" t="s">
        <v>4645</v>
      </c>
      <c r="I330" s="15" t="s">
        <v>7709</v>
      </c>
      <c r="N330" s="15" t="s">
        <v>7723</v>
      </c>
    </row>
    <row r="331" spans="1:14" x14ac:dyDescent="0.3">
      <c r="A331" s="15" t="s">
        <v>1970</v>
      </c>
      <c r="B331" s="12" t="str">
        <f>IFERROR(INDEX(Mots!$B:$B,MATCH($A331,Mots!$A:$A,0)),"introuvable")</f>
        <v>le marimba</v>
      </c>
      <c r="C331" s="15" t="s">
        <v>4645</v>
      </c>
      <c r="I331" s="15" t="s">
        <v>7709</v>
      </c>
      <c r="N331" s="15" t="s">
        <v>7723</v>
      </c>
    </row>
    <row r="332" spans="1:14" x14ac:dyDescent="0.3">
      <c r="A332" s="15" t="s">
        <v>1973</v>
      </c>
      <c r="B332" s="12" t="str">
        <f>IFERROR(INDEX(Mots!$B:$B,MATCH($A332,Mots!$A:$A,0)),"introuvable")</f>
        <v>le tambour</v>
      </c>
      <c r="I332" s="15" t="s">
        <v>7709</v>
      </c>
      <c r="N332" s="15" t="s">
        <v>7723</v>
      </c>
    </row>
    <row r="333" spans="1:14" x14ac:dyDescent="0.3">
      <c r="A333" s="15" t="s">
        <v>1981</v>
      </c>
      <c r="B333" s="12" t="str">
        <f>IFERROR(INDEX(Mots!$B:$B,MATCH($A333,Mots!$A:$A,0)),"introuvable")</f>
        <v>le cornet</v>
      </c>
      <c r="C333" s="15" t="s">
        <v>7731</v>
      </c>
      <c r="I333" s="15" t="s">
        <v>7709</v>
      </c>
      <c r="N333" s="15" t="s">
        <v>7723</v>
      </c>
    </row>
    <row r="334" spans="1:14" x14ac:dyDescent="0.3">
      <c r="A334" s="15" t="s">
        <v>1984</v>
      </c>
      <c r="B334" s="12" t="str">
        <f>IFERROR(INDEX(Mots!$B:$B,MATCH($A334,Mots!$A:$A,0)),"introuvable")</f>
        <v>le bugle</v>
      </c>
      <c r="C334" s="15" t="s">
        <v>7731</v>
      </c>
      <c r="I334" s="15" t="s">
        <v>7709</v>
      </c>
      <c r="N334" s="15" t="s">
        <v>7723</v>
      </c>
    </row>
    <row r="335" spans="1:14" x14ac:dyDescent="0.3">
      <c r="A335" s="15" t="s">
        <v>1988</v>
      </c>
      <c r="B335" s="12" t="str">
        <f>IFERROR(INDEX(Mots!$B:$B,MATCH($A335,Mots!$A:$A,0)),"introuvable")</f>
        <v>l'alto</v>
      </c>
      <c r="C335" s="15" t="s">
        <v>7731</v>
      </c>
      <c r="I335" s="15" t="s">
        <v>7709</v>
      </c>
      <c r="N335" s="15" t="s">
        <v>7723</v>
      </c>
    </row>
    <row r="336" spans="1:14" x14ac:dyDescent="0.3">
      <c r="A336" s="15" t="s">
        <v>1992</v>
      </c>
      <c r="B336" s="12" t="str">
        <f>IFERROR(INDEX(Mots!$B:$B,MATCH($A336,Mots!$A:$A,0)),"introuvable")</f>
        <v>le baryton</v>
      </c>
      <c r="C336" s="15" t="s">
        <v>7731</v>
      </c>
      <c r="I336" s="15" t="s">
        <v>7709</v>
      </c>
      <c r="N336" s="15" t="s">
        <v>7723</v>
      </c>
    </row>
    <row r="337" spans="1:14" x14ac:dyDescent="0.3">
      <c r="A337" s="15" t="s">
        <v>1996</v>
      </c>
      <c r="B337" s="12" t="str">
        <f>IFERROR(INDEX(Mots!$B:$B,MATCH($A337,Mots!$A:$A,0)),"introuvable")</f>
        <v>l'euphonium</v>
      </c>
      <c r="C337" s="15" t="s">
        <v>7731</v>
      </c>
      <c r="I337" s="15" t="s">
        <v>7709</v>
      </c>
      <c r="N337" s="15" t="s">
        <v>7723</v>
      </c>
    </row>
    <row r="338" spans="1:14" x14ac:dyDescent="0.3">
      <c r="A338" s="15" t="s">
        <v>2000</v>
      </c>
      <c r="B338" s="12" t="str">
        <f>IFERROR(INDEX(Mots!$B:$B,MATCH($A338,Mots!$A:$A,0)),"introuvable")</f>
        <v>la basse</v>
      </c>
      <c r="C338" s="15" t="s">
        <v>7731</v>
      </c>
      <c r="I338" s="15" t="s">
        <v>7709</v>
      </c>
      <c r="N338" s="15" t="s">
        <v>7723</v>
      </c>
    </row>
    <row r="339" spans="1:14" x14ac:dyDescent="0.3">
      <c r="A339" s="15" t="s">
        <v>2004</v>
      </c>
      <c r="B339" s="12" t="str">
        <f>IFERROR(INDEX(Mots!$B:$B,MATCH($A339,Mots!$A:$A,0)),"introuvable")</f>
        <v>le trombone</v>
      </c>
      <c r="C339" s="15" t="s">
        <v>7731</v>
      </c>
      <c r="I339" s="15" t="s">
        <v>7709</v>
      </c>
      <c r="N339" s="15" t="s">
        <v>7723</v>
      </c>
    </row>
    <row r="340" spans="1:14" x14ac:dyDescent="0.3">
      <c r="A340" s="15" t="s">
        <v>2008</v>
      </c>
      <c r="B340" s="12" t="str">
        <f>IFERROR(INDEX(Mots!$B:$B,MATCH($A340,Mots!$A:$A,0)),"introuvable")</f>
        <v>le légume</v>
      </c>
      <c r="C340" s="15" t="s">
        <v>7740</v>
      </c>
      <c r="I340" s="15" t="s">
        <v>702</v>
      </c>
      <c r="N340" s="15" t="s">
        <v>7711</v>
      </c>
    </row>
    <row r="341" spans="1:14" x14ac:dyDescent="0.3">
      <c r="A341" s="15" t="s">
        <v>9396</v>
      </c>
      <c r="B341" s="12" t="str">
        <f>IFERROR(INDEX(Mots!$B:$B,MATCH($A341,Mots!$A:$A,0)),"introuvable")</f>
        <v>la pomme de terre</v>
      </c>
      <c r="C341" s="15" t="s">
        <v>7740</v>
      </c>
      <c r="I341" s="15" t="s">
        <v>702</v>
      </c>
      <c r="N341" s="15" t="s">
        <v>7711</v>
      </c>
    </row>
    <row r="342" spans="1:14" x14ac:dyDescent="0.3">
      <c r="A342" s="15" t="s">
        <v>2016</v>
      </c>
      <c r="B342" s="12" t="str">
        <f>IFERROR(INDEX(Mots!$B:$B,MATCH($A342,Mots!$A:$A,0)),"introuvable")</f>
        <v>la carotte</v>
      </c>
      <c r="C342" s="15" t="s">
        <v>7740</v>
      </c>
      <c r="I342" s="15" t="s">
        <v>702</v>
      </c>
      <c r="N342" s="15" t="s">
        <v>7711</v>
      </c>
    </row>
    <row r="343" spans="1:14" x14ac:dyDescent="0.3">
      <c r="A343" s="15" t="s">
        <v>2020</v>
      </c>
      <c r="B343" s="12" t="str">
        <f>IFERROR(INDEX(Mots!$B:$B,MATCH($A343,Mots!$A:$A,0)),"introuvable")</f>
        <v>la tomate</v>
      </c>
      <c r="C343" s="15" t="s">
        <v>7740</v>
      </c>
      <c r="I343" s="15" t="s">
        <v>702</v>
      </c>
      <c r="N343" s="15" t="s">
        <v>7711</v>
      </c>
    </row>
    <row r="344" spans="1:14" x14ac:dyDescent="0.3">
      <c r="A344" s="15" t="s">
        <v>2024</v>
      </c>
      <c r="B344" s="12" t="str">
        <f>IFERROR(INDEX(Mots!$B:$B,MATCH($A344,Mots!$A:$A,0)),"introuvable")</f>
        <v>le chou-fleur</v>
      </c>
      <c r="C344" s="15" t="s">
        <v>7740</v>
      </c>
      <c r="I344" s="15" t="s">
        <v>702</v>
      </c>
      <c r="N344" s="15" t="s">
        <v>7711</v>
      </c>
    </row>
    <row r="345" spans="1:14" x14ac:dyDescent="0.3">
      <c r="A345" s="15" t="s">
        <v>2028</v>
      </c>
      <c r="B345" s="12" t="str">
        <f>IFERROR(INDEX(Mots!$B:$B,MATCH($A345,Mots!$A:$A,0)),"introuvable")</f>
        <v>le poireau</v>
      </c>
      <c r="C345" s="15" t="s">
        <v>7740</v>
      </c>
      <c r="I345" s="15" t="s">
        <v>702</v>
      </c>
      <c r="N345" s="15" t="s">
        <v>7711</v>
      </c>
    </row>
    <row r="346" spans="1:14" x14ac:dyDescent="0.3">
      <c r="A346" s="15" t="s">
        <v>2032</v>
      </c>
      <c r="B346" s="12" t="str">
        <f>IFERROR(INDEX(Mots!$B:$B,MATCH($A346,Mots!$A:$A,0)),"introuvable")</f>
        <v>le brocoli</v>
      </c>
      <c r="C346" s="15" t="s">
        <v>7740</v>
      </c>
      <c r="I346" s="15" t="s">
        <v>702</v>
      </c>
      <c r="N346" s="15" t="s">
        <v>7711</v>
      </c>
    </row>
    <row r="347" spans="1:14" x14ac:dyDescent="0.3">
      <c r="A347" s="15" t="s">
        <v>2036</v>
      </c>
      <c r="B347" s="12" t="str">
        <f>IFERROR(INDEX(Mots!$B:$B,MATCH($A347,Mots!$A:$A,0)),"introuvable")</f>
        <v>l'asperge</v>
      </c>
      <c r="C347" s="15" t="s">
        <v>7740</v>
      </c>
      <c r="I347" s="15" t="s">
        <v>702</v>
      </c>
      <c r="N347" s="15" t="s">
        <v>7711</v>
      </c>
    </row>
    <row r="348" spans="1:14" x14ac:dyDescent="0.3">
      <c r="A348" s="15" t="s">
        <v>2040</v>
      </c>
      <c r="B348" s="12" t="str">
        <f>IFERROR(INDEX(Mots!$B:$B,MATCH($A348,Mots!$A:$A,0)),"introuvable")</f>
        <v>la courgette</v>
      </c>
      <c r="C348" s="15" t="s">
        <v>7740</v>
      </c>
      <c r="I348" s="15" t="s">
        <v>702</v>
      </c>
      <c r="N348" s="15" t="s">
        <v>7711</v>
      </c>
    </row>
    <row r="349" spans="1:14" x14ac:dyDescent="0.3">
      <c r="A349" s="15" t="s">
        <v>2044</v>
      </c>
      <c r="B349" s="12" t="str">
        <f>IFERROR(INDEX(Mots!$B:$B,MATCH($A349,Mots!$A:$A,0)),"introuvable")</f>
        <v>la salade (laitue)</v>
      </c>
      <c r="C349" s="15" t="s">
        <v>7740</v>
      </c>
      <c r="I349" s="15" t="s">
        <v>702</v>
      </c>
      <c r="N349" s="15" t="s">
        <v>7711</v>
      </c>
    </row>
    <row r="350" spans="1:14" x14ac:dyDescent="0.3">
      <c r="A350" s="15" t="s">
        <v>2051</v>
      </c>
      <c r="B350" s="12" t="str">
        <f>IFERROR(INDEX(Mots!$B:$B,MATCH($A350,Mots!$A:$A,0)),"introuvable")</f>
        <v>la betterave à salade</v>
      </c>
      <c r="C350" s="15" t="s">
        <v>7740</v>
      </c>
      <c r="I350" s="15" t="s">
        <v>702</v>
      </c>
      <c r="N350" s="15" t="s">
        <v>7711</v>
      </c>
    </row>
    <row r="351" spans="1:14" x14ac:dyDescent="0.3">
      <c r="A351" s="15" t="s">
        <v>2055</v>
      </c>
      <c r="B351" s="12" t="str">
        <f>IFERROR(INDEX(Mots!$B:$B,MATCH($A351,Mots!$A:$A,0)),"introuvable")</f>
        <v>le haricot</v>
      </c>
      <c r="C351" s="15" t="s">
        <v>7740</v>
      </c>
      <c r="I351" s="15" t="s">
        <v>702</v>
      </c>
      <c r="N351" s="15" t="s">
        <v>7711</v>
      </c>
    </row>
    <row r="352" spans="1:14" x14ac:dyDescent="0.3">
      <c r="A352" s="15" t="s">
        <v>2059</v>
      </c>
      <c r="B352" s="12" t="str">
        <f>IFERROR(INDEX(Mots!$B:$B,MATCH($A352,Mots!$A:$A,0)),"introuvable")</f>
        <v>l'oignon</v>
      </c>
      <c r="C352" s="15" t="s">
        <v>7740</v>
      </c>
      <c r="I352" s="15" t="s">
        <v>702</v>
      </c>
      <c r="N352" s="15" t="s">
        <v>7711</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7718</v>
      </c>
    </row>
    <row r="364" spans="1:14" x14ac:dyDescent="0.3">
      <c r="A364" s="15" t="s">
        <v>2119</v>
      </c>
      <c r="B364" s="12" t="str">
        <f>IFERROR(INDEX(Mots!$B:$B,MATCH($A364,Mots!$A:$A,0)),"introuvable")</f>
        <v>la main</v>
      </c>
      <c r="E364" s="15" t="s">
        <v>46</v>
      </c>
      <c r="N364" s="15" t="s">
        <v>7718</v>
      </c>
    </row>
    <row r="365" spans="1:14" x14ac:dyDescent="0.3">
      <c r="A365" s="15" t="s">
        <v>2124</v>
      </c>
      <c r="B365" s="12" t="str">
        <f>IFERROR(INDEX(Mots!$B:$B,MATCH($A365,Mots!$A:$A,0)),"introuvable")</f>
        <v>le bras</v>
      </c>
      <c r="E365" s="15" t="s">
        <v>46</v>
      </c>
      <c r="N365" s="15" t="s">
        <v>7718</v>
      </c>
    </row>
    <row r="366" spans="1:14" x14ac:dyDescent="0.3">
      <c r="A366" s="15" t="s">
        <v>2129</v>
      </c>
      <c r="B366" s="12" t="str">
        <f>IFERROR(INDEX(Mots!$B:$B,MATCH($A366,Mots!$A:$A,0)),"introuvable")</f>
        <v>la jambe</v>
      </c>
      <c r="E366" s="15" t="s">
        <v>46</v>
      </c>
      <c r="N366" s="15" t="s">
        <v>7718</v>
      </c>
    </row>
    <row r="367" spans="1:14" x14ac:dyDescent="0.3">
      <c r="A367" s="15" t="s">
        <v>2134</v>
      </c>
      <c r="B367" s="12" t="str">
        <f>IFERROR(INDEX(Mots!$B:$B,MATCH($A367,Mots!$A:$A,0)),"introuvable")</f>
        <v>la cuisse</v>
      </c>
      <c r="E367" s="15" t="s">
        <v>46</v>
      </c>
      <c r="N367" s="15" t="s">
        <v>7718</v>
      </c>
    </row>
    <row r="368" spans="1:14" x14ac:dyDescent="0.3">
      <c r="A368" s="15" t="s">
        <v>2139</v>
      </c>
      <c r="B368" s="12" t="str">
        <f>IFERROR(INDEX(Mots!$B:$B,MATCH($A368,Mots!$A:$A,0)),"introuvable")</f>
        <v>le pied</v>
      </c>
      <c r="E368" s="15" t="s">
        <v>46</v>
      </c>
      <c r="N368" s="15" t="s">
        <v>7718</v>
      </c>
    </row>
    <row r="369" spans="1:14" x14ac:dyDescent="0.3">
      <c r="A369" s="15" t="s">
        <v>2148</v>
      </c>
      <c r="B369" s="12" t="str">
        <f>IFERROR(INDEX(Mots!$B:$B,MATCH($A369,Mots!$A:$A,0)),"introuvable")</f>
        <v>le coude</v>
      </c>
      <c r="E369" s="15" t="s">
        <v>46</v>
      </c>
      <c r="N369" s="15" t="s">
        <v>7718</v>
      </c>
    </row>
    <row r="370" spans="1:14" x14ac:dyDescent="0.3">
      <c r="A370" s="15" t="s">
        <v>2152</v>
      </c>
      <c r="B370" s="12" t="str">
        <f>IFERROR(INDEX(Mots!$B:$B,MATCH($A370,Mots!$A:$A,0)),"introuvable")</f>
        <v>le genou</v>
      </c>
      <c r="E370" s="15" t="s">
        <v>46</v>
      </c>
      <c r="N370" s="15" t="s">
        <v>7718</v>
      </c>
    </row>
    <row r="371" spans="1:14" x14ac:dyDescent="0.3">
      <c r="A371" s="15" t="s">
        <v>2156</v>
      </c>
      <c r="B371" s="12" t="str">
        <f>IFERROR(INDEX(Mots!$B:$B,MATCH($A371,Mots!$A:$A,0)),"introuvable")</f>
        <v>le médecin</v>
      </c>
      <c r="I371" s="15" t="s">
        <v>73</v>
      </c>
      <c r="N371" s="15" t="s">
        <v>7375</v>
      </c>
    </row>
    <row r="372" spans="1:14" x14ac:dyDescent="0.3">
      <c r="A372" s="15" t="s">
        <v>2165</v>
      </c>
      <c r="B372" s="12" t="str">
        <f>IFERROR(INDEX(Mots!$B:$B,MATCH($A372,Mots!$A:$A,0)),"introuvable")</f>
        <v>la doctoresse</v>
      </c>
      <c r="I372" s="15" t="s">
        <v>73</v>
      </c>
      <c r="N372" s="15" t="s">
        <v>7375</v>
      </c>
    </row>
    <row r="373" spans="1:14" x14ac:dyDescent="0.3">
      <c r="A373" s="15" t="s">
        <v>2169</v>
      </c>
      <c r="B373" s="12" t="str">
        <f>IFERROR(INDEX(Mots!$B:$B,MATCH($A373,Mots!$A:$A,0)),"introuvable")</f>
        <v>le policier</v>
      </c>
      <c r="I373" s="15" t="s">
        <v>73</v>
      </c>
      <c r="N373" s="15" t="s">
        <v>7375</v>
      </c>
    </row>
    <row r="374" spans="1:14" x14ac:dyDescent="0.3">
      <c r="A374" s="15" t="s">
        <v>2174</v>
      </c>
      <c r="B374" s="12" t="str">
        <f>IFERROR(INDEX(Mots!$B:$B,MATCH($A374,Mots!$A:$A,0)),"introuvable")</f>
        <v>le charpentier</v>
      </c>
      <c r="I374" s="15" t="s">
        <v>73</v>
      </c>
      <c r="N374" s="15" t="s">
        <v>7375</v>
      </c>
    </row>
    <row r="375" spans="1:14" x14ac:dyDescent="0.3">
      <c r="A375" s="15" t="s">
        <v>2178</v>
      </c>
      <c r="B375" s="12" t="str">
        <f>IFERROR(INDEX(Mots!$B:$B,MATCH($A375,Mots!$A:$A,0)),"introuvable")</f>
        <v>le maçon</v>
      </c>
      <c r="I375" s="15" t="s">
        <v>73</v>
      </c>
      <c r="N375" s="15" t="s">
        <v>7375</v>
      </c>
    </row>
    <row r="376" spans="1:14" x14ac:dyDescent="0.3">
      <c r="A376" s="15" t="s">
        <v>2182</v>
      </c>
      <c r="B376" s="12" t="str">
        <f>IFERROR(INDEX(Mots!$B:$B,MATCH($A376,Mots!$A:$A,0)),"introuvable")</f>
        <v>l'installateur sanitaire</v>
      </c>
      <c r="I376" s="15" t="s">
        <v>73</v>
      </c>
      <c r="N376" s="15" t="s">
        <v>7375</v>
      </c>
    </row>
    <row r="377" spans="1:14" x14ac:dyDescent="0.3">
      <c r="A377" s="15" t="s">
        <v>2186</v>
      </c>
      <c r="B377" s="12" t="str">
        <f>IFERROR(INDEX(Mots!$B:$B,MATCH($A377,Mots!$A:$A,0)),"introuvable")</f>
        <v>le ferblantier</v>
      </c>
      <c r="I377" s="15" t="s">
        <v>73</v>
      </c>
      <c r="N377" s="15" t="s">
        <v>7375</v>
      </c>
    </row>
    <row r="378" spans="1:14" x14ac:dyDescent="0.3">
      <c r="A378" s="15" t="s">
        <v>2190</v>
      </c>
      <c r="B378" s="12" t="str">
        <f>IFERROR(INDEX(Mots!$B:$B,MATCH($A378,Mots!$A:$A,0)),"introuvable")</f>
        <v>le menuisier</v>
      </c>
      <c r="I378" s="15" t="s">
        <v>73</v>
      </c>
      <c r="N378" s="15" t="s">
        <v>7375</v>
      </c>
    </row>
    <row r="379" spans="1:14" x14ac:dyDescent="0.3">
      <c r="A379" s="15" t="s">
        <v>2194</v>
      </c>
      <c r="B379" s="12" t="str">
        <f>IFERROR(INDEX(Mots!$B:$B,MATCH($A379,Mots!$A:$A,0)),"introuvable")</f>
        <v>le poseur de cuisine</v>
      </c>
      <c r="I379" s="15" t="s">
        <v>73</v>
      </c>
      <c r="N379" s="15" t="s">
        <v>7375</v>
      </c>
    </row>
    <row r="380" spans="1:14" x14ac:dyDescent="0.3">
      <c r="A380" s="15" t="s">
        <v>9520</v>
      </c>
      <c r="B380" s="12" t="str">
        <f>IFERROR(INDEX(Mots!$B:$B,MATCH($A380,Mots!$A:$A,0)),"introuvable")</f>
        <v>le mécanicien</v>
      </c>
      <c r="I380" s="15" t="s">
        <v>73</v>
      </c>
      <c r="N380" s="15" t="s">
        <v>7375</v>
      </c>
    </row>
    <row r="381" spans="1:14" x14ac:dyDescent="0.3">
      <c r="A381" s="15" t="s">
        <v>2200</v>
      </c>
      <c r="B381" s="12" t="str">
        <f>IFERROR(INDEX(Mots!$B:$B,MATCH($A381,Mots!$A:$A,0)),"introuvable")</f>
        <v>le cuisinier</v>
      </c>
      <c r="I381" s="15" t="s">
        <v>73</v>
      </c>
      <c r="N381" s="15" t="s">
        <v>7375</v>
      </c>
    </row>
    <row r="382" spans="1:14" x14ac:dyDescent="0.3">
      <c r="A382" s="15" t="s">
        <v>2204</v>
      </c>
      <c r="B382" s="12" t="str">
        <f>IFERROR(INDEX(Mots!$B:$B,MATCH($A382,Mots!$A:$A,0)),"introuvable")</f>
        <v>le boulanger</v>
      </c>
      <c r="I382" s="15" t="s">
        <v>73</v>
      </c>
      <c r="N382" s="15" t="s">
        <v>7375</v>
      </c>
    </row>
    <row r="383" spans="1:14" x14ac:dyDescent="0.3">
      <c r="A383" s="15" t="s">
        <v>2208</v>
      </c>
      <c r="B383" s="12" t="str">
        <f>IFERROR(INDEX(Mots!$B:$B,MATCH($A383,Mots!$A:$A,0)),"introuvable")</f>
        <v>le chauffeur</v>
      </c>
      <c r="I383" s="15" t="s">
        <v>73</v>
      </c>
      <c r="N383" s="15" t="s">
        <v>7375</v>
      </c>
    </row>
    <row r="384" spans="1:14" x14ac:dyDescent="0.3">
      <c r="A384" s="15" t="s">
        <v>2212</v>
      </c>
      <c r="B384" s="12" t="str">
        <f>IFERROR(INDEX(Mots!$B:$B,MATCH($A384,Mots!$A:$A,0)),"introuvable")</f>
        <v>le dessinateur</v>
      </c>
      <c r="I384" s="15" t="s">
        <v>73</v>
      </c>
      <c r="N384" s="15" t="s">
        <v>7375</v>
      </c>
    </row>
    <row r="385" spans="1:19" x14ac:dyDescent="0.3">
      <c r="A385" s="15" t="s">
        <v>2216</v>
      </c>
      <c r="B385" s="12" t="str">
        <f>IFERROR(INDEX(Mots!$B:$B,MATCH($A385,Mots!$A:$A,0)),"introuvable")</f>
        <v>le professeur</v>
      </c>
      <c r="I385" s="15" t="s">
        <v>73</v>
      </c>
      <c r="N385" s="15" t="s">
        <v>7375</v>
      </c>
    </row>
    <row r="386" spans="1:19" x14ac:dyDescent="0.3">
      <c r="A386" s="15" t="s">
        <v>2225</v>
      </c>
      <c r="B386" s="12" t="str">
        <f>IFERROR(INDEX(Mots!$B:$B,MATCH($A386,Mots!$A:$A,0)),"introuvable")</f>
        <v>l'acteur</v>
      </c>
      <c r="I386" s="15" t="s">
        <v>73</v>
      </c>
      <c r="N386" s="15" t="s">
        <v>7375</v>
      </c>
    </row>
    <row r="387" spans="1:19" x14ac:dyDescent="0.3">
      <c r="A387" s="15" t="s">
        <v>2233</v>
      </c>
      <c r="B387" s="12" t="str">
        <f>IFERROR(INDEX(Mots!$B:$B,MATCH($A387,Mots!$A:$A,0)),"introuvable")</f>
        <v>l'agriculteur</v>
      </c>
      <c r="I387" s="15" t="s">
        <v>73</v>
      </c>
      <c r="N387" s="15" t="s">
        <v>7375</v>
      </c>
    </row>
    <row r="388" spans="1:19" x14ac:dyDescent="0.3">
      <c r="A388" s="15" t="s">
        <v>2241</v>
      </c>
      <c r="B388" s="12" t="str">
        <f>IFERROR(INDEX(Mots!$B:$B,MATCH($A388,Mots!$A:$A,0)),"introuvable")</f>
        <v>le banquier</v>
      </c>
      <c r="I388" s="15" t="s">
        <v>73</v>
      </c>
      <c r="N388" s="15" t="s">
        <v>7375</v>
      </c>
    </row>
    <row r="389" spans="1:19" x14ac:dyDescent="0.3">
      <c r="A389" s="15" t="s">
        <v>2248</v>
      </c>
      <c r="B389" s="12" t="str">
        <f>IFERROR(INDEX(Mots!$B:$B,MATCH($A389,Mots!$A:$A,0)),"introuvable")</f>
        <v>le chanteur</v>
      </c>
      <c r="I389" s="15" t="s">
        <v>73</v>
      </c>
      <c r="N389" s="15" t="s">
        <v>7375</v>
      </c>
    </row>
    <row r="390" spans="1:19" x14ac:dyDescent="0.3">
      <c r="A390" s="15" t="s">
        <v>2256</v>
      </c>
      <c r="B390" s="12" t="str">
        <f>IFERROR(INDEX(Mots!$B:$B,MATCH($A390,Mots!$A:$A,0)),"introuvable")</f>
        <v>le facteur</v>
      </c>
      <c r="I390" s="15" t="s">
        <v>73</v>
      </c>
      <c r="N390" s="15" t="s">
        <v>7375</v>
      </c>
    </row>
    <row r="391" spans="1:19" x14ac:dyDescent="0.3">
      <c r="A391" s="15" t="s">
        <v>2264</v>
      </c>
      <c r="B391" s="12" t="str">
        <f>IFERROR(INDEX(Mots!$B:$B,MATCH($A391,Mots!$A:$A,0)),"introuvable")</f>
        <v>le peintre</v>
      </c>
      <c r="I391" s="15" t="s">
        <v>73</v>
      </c>
      <c r="N391" s="15" t="s">
        <v>7375</v>
      </c>
    </row>
    <row r="392" spans="1:19" x14ac:dyDescent="0.3">
      <c r="A392" s="15" t="s">
        <v>2272</v>
      </c>
      <c r="B392" s="12" t="str">
        <f>IFERROR(INDEX(Mots!$B:$B,MATCH($A392,Mots!$A:$A,0)),"introuvable")</f>
        <v>le pompier</v>
      </c>
      <c r="I392" s="15" t="s">
        <v>73</v>
      </c>
      <c r="N392" s="15" t="s">
        <v>7375</v>
      </c>
    </row>
    <row r="393" spans="1:19" x14ac:dyDescent="0.3">
      <c r="A393" s="15" t="s">
        <v>2280</v>
      </c>
      <c r="B393" s="12" t="str">
        <f>IFERROR(INDEX(Mots!$B:$B,MATCH($A393,Mots!$A:$A,0)),"introuvable")</f>
        <v>le vendeur</v>
      </c>
      <c r="I393" s="15" t="s">
        <v>73</v>
      </c>
      <c r="N393" s="15" t="s">
        <v>7375</v>
      </c>
    </row>
    <row r="394" spans="1:19" x14ac:dyDescent="0.3">
      <c r="A394" s="15" t="s">
        <v>2284</v>
      </c>
      <c r="B394" s="12" t="str">
        <f>IFERROR(INDEX(Mots!$B:$B,MATCH($A394,Mots!$A:$A,0)),"introuvable")</f>
        <v>l'écrivain</v>
      </c>
      <c r="I394" s="15" t="s">
        <v>73</v>
      </c>
      <c r="N394" s="15" t="s">
        <v>7375</v>
      </c>
    </row>
    <row r="395" spans="1:19" x14ac:dyDescent="0.3">
      <c r="A395" s="15" t="s">
        <v>2292</v>
      </c>
      <c r="B395" s="12" t="str">
        <f>IFERROR(INDEX(Mots!$B:$B,MATCH($A395,Mots!$A:$A,0)),"introuvable")</f>
        <v>l'infirmier</v>
      </c>
      <c r="I395" s="15" t="s">
        <v>73</v>
      </c>
      <c r="N395" s="15" t="s">
        <v>7375</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4645</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5288</v>
      </c>
    </row>
    <row r="403" spans="1:20" x14ac:dyDescent="0.3">
      <c r="A403" s="15" t="s">
        <v>2329</v>
      </c>
      <c r="B403" s="12" t="str">
        <f>IFERROR(INDEX(Mots!$B:$B,MATCH($A403,Mots!$A:$A,0)),"introuvable")</f>
        <v>le porte-monnaie</v>
      </c>
      <c r="C403" s="15" t="s">
        <v>6216</v>
      </c>
      <c r="I403" s="15" t="s">
        <v>34</v>
      </c>
      <c r="J403" s="15" t="s">
        <v>2846</v>
      </c>
      <c r="K403" s="15" t="s">
        <v>73</v>
      </c>
      <c r="N403" s="15" t="s">
        <v>7720</v>
      </c>
      <c r="O403" s="15" t="s">
        <v>7375</v>
      </c>
    </row>
    <row r="404" spans="1:20" x14ac:dyDescent="0.3">
      <c r="A404" s="15" t="s">
        <v>2333</v>
      </c>
      <c r="B404" s="12" t="str">
        <f>IFERROR(INDEX(Mots!$B:$B,MATCH($A404,Mots!$A:$A,0)),"introuvable")</f>
        <v>le téléphone ou l'Iphone</v>
      </c>
      <c r="C404" s="15" t="s">
        <v>5288</v>
      </c>
    </row>
    <row r="405" spans="1:20" x14ac:dyDescent="0.3">
      <c r="A405" s="15" t="s">
        <v>2338</v>
      </c>
      <c r="B405" s="12" t="str">
        <f>IFERROR(INDEX(Mots!$B:$B,MATCH($A405,Mots!$A:$A,0)),"introuvable")</f>
        <v>l'Ipad ou la tablette</v>
      </c>
      <c r="C405" s="15" t="s">
        <v>5288</v>
      </c>
      <c r="I405" s="15" t="s">
        <v>702</v>
      </c>
      <c r="J405" s="15" t="s">
        <v>73</v>
      </c>
      <c r="K405" s="15" t="s">
        <v>7709</v>
      </c>
      <c r="N405" s="15" t="s">
        <v>7375</v>
      </c>
      <c r="O405" s="15" t="s">
        <v>7723</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7772</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7772</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7359</v>
      </c>
      <c r="T412" s="15" t="s">
        <v>5843</v>
      </c>
    </row>
    <row r="413" spans="1:20" x14ac:dyDescent="0.3">
      <c r="A413" s="15" t="s">
        <v>2369</v>
      </c>
      <c r="B413" s="12" t="str">
        <f>IFERROR(INDEX(Mots!$B:$B,MATCH($A413,Mots!$A:$A,0)),"introuvable")</f>
        <v>beau  ↔  laid</v>
      </c>
      <c r="S413" s="15" t="s">
        <v>7772</v>
      </c>
    </row>
    <row r="414" spans="1:20" x14ac:dyDescent="0.3">
      <c r="A414" s="15" t="s">
        <v>2374</v>
      </c>
      <c r="B414" s="12" t="str">
        <f>IFERROR(INDEX(Mots!$B:$B,MATCH($A414,Mots!$A:$A,0)),"introuvable")</f>
        <v>bon  ↔  mauvais</v>
      </c>
      <c r="S414" s="15" t="s">
        <v>5843</v>
      </c>
    </row>
    <row r="415" spans="1:20" x14ac:dyDescent="0.3">
      <c r="A415" s="15" t="s">
        <v>2380</v>
      </c>
      <c r="B415" s="12" t="str">
        <f>IFERROR(INDEX(Mots!$B:$B,MATCH($A415,Mots!$A:$A,0)),"introuvable")</f>
        <v>brillant  ↔  terne</v>
      </c>
      <c r="S415" s="15" t="s">
        <v>7772</v>
      </c>
    </row>
    <row r="416" spans="1:20" x14ac:dyDescent="0.3">
      <c r="A416" s="15" t="s">
        <v>2384</v>
      </c>
      <c r="B416" s="12" t="str">
        <f>IFERROR(INDEX(Mots!$B:$B,MATCH($A416,Mots!$A:$A,0)),"introuvable")</f>
        <v>calme  ↔  agité (énervé)</v>
      </c>
      <c r="S416" s="15" t="s">
        <v>7779</v>
      </c>
    </row>
    <row r="417" spans="1:21" x14ac:dyDescent="0.3">
      <c r="A417" s="15" t="s">
        <v>2390</v>
      </c>
      <c r="B417" s="12" t="str">
        <f>IFERROR(INDEX(Mots!$B:$B,MATCH($A417,Mots!$A:$A,0)),"introuvable")</f>
        <v>chaud  ↔  froid</v>
      </c>
      <c r="S417" s="15" t="s">
        <v>7764</v>
      </c>
    </row>
    <row r="418" spans="1:21" x14ac:dyDescent="0.3">
      <c r="A418" s="15" t="s">
        <v>2396</v>
      </c>
      <c r="B418" s="12" t="str">
        <f>IFERROR(INDEX(Mots!$B:$B,MATCH($A418,Mots!$A:$A,0)),"introuvable")</f>
        <v>cher  ↔  bon marché</v>
      </c>
      <c r="S418" s="15" t="s">
        <v>6198</v>
      </c>
    </row>
    <row r="419" spans="1:21" x14ac:dyDescent="0.3">
      <c r="A419" s="15" t="s">
        <v>2401</v>
      </c>
      <c r="B419" s="12" t="str">
        <f>IFERROR(INDEX(Mots!$B:$B,MATCH($A419,Mots!$A:$A,0)),"introuvable")</f>
        <v>clair  ↔  sombre</v>
      </c>
      <c r="S419" s="15" t="s">
        <v>7772</v>
      </c>
    </row>
    <row r="420" spans="1:21" x14ac:dyDescent="0.3">
      <c r="A420" s="15" t="s">
        <v>2407</v>
      </c>
      <c r="B420" s="12" t="str">
        <f>IFERROR(INDEX(Mots!$B:$B,MATCH($A420,Mots!$A:$A,0)),"introuvable")</f>
        <v>content  ↔  triste</v>
      </c>
      <c r="S420" s="15" t="s">
        <v>7779</v>
      </c>
    </row>
    <row r="421" spans="1:21" x14ac:dyDescent="0.3">
      <c r="A421" s="15" t="s">
        <v>2413</v>
      </c>
      <c r="B421" s="12" t="str">
        <f>IFERROR(INDEX(Mots!$B:$B,MATCH($A421,Mots!$A:$A,0)),"introuvable")</f>
        <v>courageux  ↔  peureux</v>
      </c>
      <c r="S421" s="15" t="s">
        <v>7768</v>
      </c>
      <c r="T421" s="15" t="s">
        <v>7776</v>
      </c>
    </row>
    <row r="422" spans="1:21" x14ac:dyDescent="0.3">
      <c r="A422" s="15" t="s">
        <v>2419</v>
      </c>
      <c r="B422" s="12" t="str">
        <f>IFERROR(INDEX(Mots!$B:$B,MATCH($A422,Mots!$A:$A,0)),"introuvable")</f>
        <v>dessus  ↔  dessous</v>
      </c>
      <c r="S422" s="15" t="s">
        <v>7761</v>
      </c>
      <c r="T422" s="15" t="s">
        <v>7776</v>
      </c>
    </row>
    <row r="423" spans="1:21" x14ac:dyDescent="0.3">
      <c r="A423" s="15" t="s">
        <v>2423</v>
      </c>
      <c r="B423" s="12" t="str">
        <f>IFERROR(INDEX(Mots!$B:$B,MATCH($A423,Mots!$A:$A,0)),"introuvable")</f>
        <v>devant  ↔  derrière</v>
      </c>
      <c r="S423" s="15" t="s">
        <v>7776</v>
      </c>
    </row>
    <row r="424" spans="1:21" x14ac:dyDescent="0.3">
      <c r="A424" s="15" t="s">
        <v>2427</v>
      </c>
      <c r="B424" s="12" t="str">
        <f>IFERROR(INDEX(Mots!$B:$B,MATCH($A424,Mots!$A:$A,0)),"introuvable")</f>
        <v>drôle  ↔  sérieux</v>
      </c>
      <c r="S424" s="15" t="s">
        <v>7779</v>
      </c>
    </row>
    <row r="425" spans="1:21" x14ac:dyDescent="0.3">
      <c r="A425" s="15" t="s">
        <v>2433</v>
      </c>
      <c r="B425" s="12" t="str">
        <f>IFERROR(INDEX(Mots!$B:$B,MATCH($A425,Mots!$A:$A,0)),"introuvable")</f>
        <v>dur  ↔  mou</v>
      </c>
      <c r="S425" s="15" t="s">
        <v>4445</v>
      </c>
      <c r="T425" s="15" t="s">
        <v>7359</v>
      </c>
      <c r="U425" s="15" t="s">
        <v>7774</v>
      </c>
    </row>
    <row r="426" spans="1:21" x14ac:dyDescent="0.3">
      <c r="A426" s="15" t="s">
        <v>2439</v>
      </c>
      <c r="B426" s="12" t="str">
        <f>IFERROR(INDEX(Mots!$B:$B,MATCH($A426,Mots!$A:$A,0)),"introuvable")</f>
        <v>épais  ↔  fin</v>
      </c>
      <c r="S426" s="15" t="s">
        <v>7761</v>
      </c>
    </row>
    <row r="427" spans="1:21" x14ac:dyDescent="0.3">
      <c r="A427" s="15" t="s">
        <v>2445</v>
      </c>
      <c r="B427" s="12" t="str">
        <f>IFERROR(INDEX(Mots!$B:$B,MATCH($A427,Mots!$A:$A,0)),"introuvable")</f>
        <v>facile  ↔  difficile</v>
      </c>
      <c r="S427" s="15" t="s">
        <v>7774</v>
      </c>
    </row>
    <row r="428" spans="1:21" x14ac:dyDescent="0.3">
      <c r="A428" s="15" t="s">
        <v>2451</v>
      </c>
      <c r="B428" s="12" t="str">
        <f>IFERROR(INDEX(Mots!$B:$B,MATCH($A428,Mots!$A:$A,0)),"introuvable")</f>
        <v>fermé  ↔  ouvert</v>
      </c>
      <c r="S428" s="15" t="s">
        <v>7776</v>
      </c>
    </row>
    <row r="429" spans="1:21" x14ac:dyDescent="0.3">
      <c r="A429" s="15" t="s">
        <v>2457</v>
      </c>
      <c r="B429" s="12" t="str">
        <f>IFERROR(INDEX(Mots!$B:$B,MATCH($A429,Mots!$A:$A,0)),"introuvable")</f>
        <v>fort  ↔  faible</v>
      </c>
      <c r="S429" s="15" t="s">
        <v>7761</v>
      </c>
    </row>
    <row r="430" spans="1:21" x14ac:dyDescent="0.3">
      <c r="A430" s="15" t="s">
        <v>2463</v>
      </c>
      <c r="B430" s="12" t="str">
        <f>IFERROR(INDEX(Mots!$B:$B,MATCH($A430,Mots!$A:$A,0)),"introuvable")</f>
        <v>gentil  ↔  méchant</v>
      </c>
      <c r="S430" s="15" t="s">
        <v>7768</v>
      </c>
      <c r="T430" s="15" t="s">
        <v>7776</v>
      </c>
    </row>
    <row r="431" spans="1:21" x14ac:dyDescent="0.3">
      <c r="A431" s="15" t="s">
        <v>2470</v>
      </c>
      <c r="B431" s="12" t="str">
        <f>IFERROR(INDEX(Mots!$B:$B,MATCH($A431,Mots!$A:$A,0)),"introuvable")</f>
        <v>grand  ↔  petit</v>
      </c>
      <c r="S431" s="15" t="s">
        <v>7761</v>
      </c>
    </row>
    <row r="432" spans="1:21" x14ac:dyDescent="0.3">
      <c r="A432" s="15" t="s">
        <v>2476</v>
      </c>
      <c r="B432" s="12" t="str">
        <f>IFERROR(INDEX(Mots!$B:$B,MATCH($A432,Mots!$A:$A,0)),"introuvable")</f>
        <v>gros  ↔  mince</v>
      </c>
      <c r="S432" s="15" t="s">
        <v>7761</v>
      </c>
    </row>
    <row r="433" spans="1:20" x14ac:dyDescent="0.3">
      <c r="A433" s="15" t="s">
        <v>2481</v>
      </c>
      <c r="B433" s="12" t="str">
        <f>IFERROR(INDEX(Mots!$B:$B,MATCH($A433,Mots!$A:$A,0)),"introuvable")</f>
        <v>haut  ↔  bas</v>
      </c>
      <c r="S433" s="15" t="s">
        <v>7761</v>
      </c>
      <c r="T433" s="15" t="s">
        <v>7776</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7761</v>
      </c>
      <c r="T435" s="15" t="s">
        <v>7770</v>
      </c>
    </row>
    <row r="436" spans="1:20" x14ac:dyDescent="0.3">
      <c r="A436" s="15" t="s">
        <v>2499</v>
      </c>
      <c r="B436" s="12" t="str">
        <f>IFERROR(INDEX(Mots!$B:$B,MATCH($A436,Mots!$A:$A,0)),"introuvable")</f>
        <v>large  ↔  étroit</v>
      </c>
      <c r="S436" s="15" t="s">
        <v>7761</v>
      </c>
    </row>
    <row r="437" spans="1:20" x14ac:dyDescent="0.3">
      <c r="A437" s="15" t="s">
        <v>2505</v>
      </c>
      <c r="B437" s="12" t="str">
        <f>IFERROR(INDEX(Mots!$B:$B,MATCH($A437,Mots!$A:$A,0)),"introuvable")</f>
        <v>libre  ↔  occupé</v>
      </c>
      <c r="S437" s="15" t="s">
        <v>6198</v>
      </c>
    </row>
    <row r="438" spans="1:20" x14ac:dyDescent="0.3">
      <c r="A438" s="15" t="s">
        <v>2509</v>
      </c>
      <c r="B438" s="12" t="str">
        <f>IFERROR(INDEX(Mots!$B:$B,MATCH($A438,Mots!$A:$A,0)),"introuvable")</f>
        <v>long  ↔  court</v>
      </c>
      <c r="S438" s="15" t="s">
        <v>7761</v>
      </c>
    </row>
    <row r="439" spans="1:20" x14ac:dyDescent="0.3">
      <c r="A439" s="15" t="s">
        <v>2515</v>
      </c>
      <c r="B439" s="12" t="str">
        <f>IFERROR(INDEX(Mots!$B:$B,MATCH($A439,Mots!$A:$A,0)),"introuvable")</f>
        <v>lourd  ↔  léger</v>
      </c>
      <c r="S439" s="15" t="s">
        <v>7772</v>
      </c>
    </row>
    <row r="440" spans="1:20" x14ac:dyDescent="0.3">
      <c r="A440" s="15" t="s">
        <v>2521</v>
      </c>
      <c r="B440" s="12" t="str">
        <f>IFERROR(INDEX(Mots!$B:$B,MATCH($A440,Mots!$A:$A,0)),"introuvable")</f>
        <v>neuf  ↔  usé</v>
      </c>
      <c r="S440" s="15" t="s">
        <v>7770</v>
      </c>
    </row>
    <row r="441" spans="1:20" x14ac:dyDescent="0.3">
      <c r="A441" s="15" t="s">
        <v>2527</v>
      </c>
      <c r="B441" s="12" t="str">
        <f>IFERROR(INDEX(Mots!$B:$B,MATCH($A441,Mots!$A:$A,0)),"introuvable")</f>
        <v>nouveau  ↔  ancien</v>
      </c>
      <c r="S441" s="15" t="s">
        <v>7770</v>
      </c>
    </row>
    <row r="442" spans="1:20" x14ac:dyDescent="0.3">
      <c r="A442" s="15" t="s">
        <v>2545</v>
      </c>
      <c r="B442" s="12" t="str">
        <f>IFERROR(INDEX(Mots!$B:$B,MATCH($A442,Mots!$A:$A,0)),"introuvable")</f>
        <v>propre  ↔  sale</v>
      </c>
      <c r="S442" s="15" t="s">
        <v>5843</v>
      </c>
      <c r="T442" s="15" t="s">
        <v>7770</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7772</v>
      </c>
    </row>
    <row r="445" spans="1:20" x14ac:dyDescent="0.3">
      <c r="A445" s="15" t="s">
        <v>2569</v>
      </c>
      <c r="B445" s="12" t="str">
        <f>IFERROR(INDEX(Mots!$B:$B,MATCH($A445,Mots!$A:$A,0)),"introuvable")</f>
        <v>sec  ↔  mouillé</v>
      </c>
      <c r="S445" s="15" t="s">
        <v>7359</v>
      </c>
      <c r="T445" s="15" t="s">
        <v>7776</v>
      </c>
    </row>
    <row r="446" spans="1:20" x14ac:dyDescent="0.3">
      <c r="A446" s="15" t="s">
        <v>2580</v>
      </c>
      <c r="B446" s="12" t="str">
        <f>IFERROR(INDEX(Mots!$B:$B,MATCH($A446,Mots!$A:$A,0)),"introuvable")</f>
        <v>sucré  ↔  salé</v>
      </c>
      <c r="S446" s="15" t="s">
        <v>5843</v>
      </c>
      <c r="T446" s="15" t="s">
        <v>7770</v>
      </c>
    </row>
    <row r="447" spans="1:20" x14ac:dyDescent="0.3">
      <c r="A447" s="15" t="s">
        <v>2584</v>
      </c>
      <c r="B447" s="12" t="str">
        <f>IFERROR(INDEX(Mots!$B:$B,MATCH($A447,Mots!$A:$A,0)),"introuvable")</f>
        <v>vide  ↔  plein</v>
      </c>
      <c r="S447" s="15" t="s">
        <v>7770</v>
      </c>
      <c r="T447" s="15" t="s">
        <v>7776</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7774</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7761</v>
      </c>
      <c r="T452" s="15" t="s">
        <v>7776</v>
      </c>
    </row>
    <row r="453" spans="1:20" x14ac:dyDescent="0.3">
      <c r="A453" s="15" t="s">
        <v>2614</v>
      </c>
      <c r="B453" s="12" t="str">
        <f>IFERROR(INDEX(Mots!$B:$B,MATCH($A453,Mots!$A:$A,0)),"introuvable")</f>
        <v>la largeur</v>
      </c>
      <c r="S453" s="15" t="s">
        <v>7761</v>
      </c>
    </row>
    <row r="454" spans="1:20" x14ac:dyDescent="0.3">
      <c r="A454" s="15" t="s">
        <v>2618</v>
      </c>
      <c r="B454" s="12" t="str">
        <f>IFERROR(INDEX(Mots!$B:$B,MATCH($A454,Mots!$A:$A,0)),"introuvable")</f>
        <v>la longueur</v>
      </c>
      <c r="S454" s="15" t="s">
        <v>7761</v>
      </c>
    </row>
    <row r="455" spans="1:20" x14ac:dyDescent="0.3">
      <c r="A455" s="15" t="s">
        <v>2622</v>
      </c>
      <c r="B455" s="12" t="str">
        <f>IFERROR(INDEX(Mots!$B:$B,MATCH($A455,Mots!$A:$A,0)),"introuvable")</f>
        <v>le cercle</v>
      </c>
      <c r="S455" s="15" t="s">
        <v>4445</v>
      </c>
    </row>
    <row r="456" spans="1:20" x14ac:dyDescent="0.3">
      <c r="A456" s="8" t="s">
        <v>9589</v>
      </c>
      <c r="B456" s="12" t="str">
        <f>IFERROR(INDEX(Mots!$B:$B,MATCH($A456,Mots!$A:$A,0)),"introuvable")</f>
        <v>le rectangle</v>
      </c>
      <c r="S456" s="15" t="s">
        <v>7761</v>
      </c>
      <c r="T456" s="15" t="s">
        <v>4445</v>
      </c>
    </row>
    <row r="457" spans="1:20" x14ac:dyDescent="0.3">
      <c r="A457" s="15" t="s">
        <v>2629</v>
      </c>
      <c r="B457" s="12" t="str">
        <f>IFERROR(INDEX(Mots!$B:$B,MATCH($A457,Mots!$A:$A,0)),"introuvable")</f>
        <v>l'épaisseur</v>
      </c>
      <c r="S457" s="15" t="s">
        <v>7761</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7740</v>
      </c>
      <c r="I464" s="15" t="s">
        <v>702</v>
      </c>
      <c r="N464" s="15" t="s">
        <v>7711</v>
      </c>
    </row>
    <row r="465" spans="1:26" x14ac:dyDescent="0.3">
      <c r="A465" s="15" t="s">
        <v>2671</v>
      </c>
      <c r="B465" s="12" t="str">
        <f>IFERROR(INDEX(Mots!$B:$B,MATCH($A465,Mots!$A:$A,0)),"introuvable")</f>
        <v>les lasagnes</v>
      </c>
      <c r="C465" s="15" t="s">
        <v>7740</v>
      </c>
      <c r="I465" s="15" t="s">
        <v>702</v>
      </c>
      <c r="N465" s="15" t="s">
        <v>7711</v>
      </c>
    </row>
    <row r="466" spans="1:26" x14ac:dyDescent="0.3">
      <c r="A466" s="15" t="s">
        <v>2676</v>
      </c>
      <c r="B466" s="12" t="str">
        <f>IFERROR(INDEX(Mots!$B:$B,MATCH($A466,Mots!$A:$A,0)),"introuvable")</f>
        <v>les cornettes</v>
      </c>
      <c r="C466" s="15"/>
      <c r="I466" s="15" t="s">
        <v>702</v>
      </c>
      <c r="N466" s="15" t="s">
        <v>7711</v>
      </c>
    </row>
    <row r="467" spans="1:26" x14ac:dyDescent="0.3">
      <c r="A467" s="15" t="s">
        <v>2680</v>
      </c>
      <c r="B467" s="12" t="str">
        <f>IFERROR(INDEX(Mots!$B:$B,MATCH($A467,Mots!$A:$A,0)),"introuvable")</f>
        <v>les spaghetti</v>
      </c>
      <c r="C467" s="15" t="s">
        <v>7740</v>
      </c>
      <c r="I467" s="15" t="s">
        <v>702</v>
      </c>
      <c r="N467" s="15" t="s">
        <v>7711</v>
      </c>
    </row>
    <row r="468" spans="1:26" x14ac:dyDescent="0.3">
      <c r="A468" s="15" t="s">
        <v>2685</v>
      </c>
      <c r="B468" s="12" t="str">
        <f>IFERROR(INDEX(Mots!$B:$B,MATCH($A468,Mots!$A:$A,0)),"introuvable")</f>
        <v>les pennes</v>
      </c>
      <c r="C468" s="15" t="s">
        <v>7740</v>
      </c>
      <c r="I468" s="15" t="s">
        <v>702</v>
      </c>
      <c r="N468" s="15" t="s">
        <v>7711</v>
      </c>
    </row>
    <row r="469" spans="1:26" x14ac:dyDescent="0.3">
      <c r="A469" s="15" t="s">
        <v>2689</v>
      </c>
      <c r="B469" s="12" t="str">
        <f>IFERROR(INDEX(Mots!$B:$B,MATCH($A469,Mots!$A:$A,0)),"introuvable")</f>
        <v>un oeuf au plat</v>
      </c>
      <c r="C469" s="15" t="s">
        <v>7740</v>
      </c>
      <c r="I469" s="15" t="s">
        <v>702</v>
      </c>
      <c r="N469" s="15" t="s">
        <v>7711</v>
      </c>
      <c r="O469" s="15" t="s">
        <v>7713</v>
      </c>
    </row>
    <row r="470" spans="1:26" x14ac:dyDescent="0.3">
      <c r="A470" s="15" t="s">
        <v>2694</v>
      </c>
      <c r="B470" s="12" t="str">
        <f>IFERROR(INDEX(Mots!$B:$B,MATCH($A470,Mots!$A:$A,0)),"introuvable")</f>
        <v>l'omelette</v>
      </c>
      <c r="C470" s="15" t="s">
        <v>7740</v>
      </c>
      <c r="I470" s="15" t="s">
        <v>702</v>
      </c>
      <c r="N470" s="15" t="s">
        <v>7711</v>
      </c>
      <c r="O470" s="15" t="s">
        <v>7713</v>
      </c>
    </row>
    <row r="471" spans="1:26" x14ac:dyDescent="0.3">
      <c r="A471" s="15" t="s">
        <v>2698</v>
      </c>
      <c r="B471" s="12" t="str">
        <f>IFERROR(INDEX(Mots!$B:$B,MATCH($A471,Mots!$A:$A,0)),"introuvable")</f>
        <v>la polenta</v>
      </c>
      <c r="C471" s="15" t="s">
        <v>7740</v>
      </c>
      <c r="I471" s="15" t="s">
        <v>702</v>
      </c>
      <c r="N471" s="15" t="s">
        <v>7711</v>
      </c>
      <c r="O471" s="15" t="s">
        <v>7713</v>
      </c>
    </row>
    <row r="472" spans="1:26" x14ac:dyDescent="0.3">
      <c r="A472" s="15" t="s">
        <v>2702</v>
      </c>
      <c r="B472" s="12" t="str">
        <f>IFERROR(INDEX(Mots!$B:$B,MATCH($A472,Mots!$A:$A,0)),"introuvable")</f>
        <v>la fondue</v>
      </c>
      <c r="C472" s="15" t="s">
        <v>7740</v>
      </c>
      <c r="I472" s="15" t="s">
        <v>702</v>
      </c>
      <c r="N472" s="15" t="s">
        <v>7711</v>
      </c>
      <c r="O472" s="15" t="s">
        <v>7713</v>
      </c>
    </row>
    <row r="473" spans="1:26" x14ac:dyDescent="0.3">
      <c r="A473" s="15" t="s">
        <v>2706</v>
      </c>
      <c r="B473" s="12" t="str">
        <f>IFERROR(INDEX(Mots!$B:$B,MATCH($A473,Mots!$A:$A,0)),"introuvable")</f>
        <v>la raclette</v>
      </c>
      <c r="C473" s="15" t="s">
        <v>7740</v>
      </c>
      <c r="I473" s="15" t="s">
        <v>702</v>
      </c>
      <c r="N473" s="15" t="s">
        <v>7711</v>
      </c>
      <c r="O473" s="15" t="s">
        <v>7713</v>
      </c>
    </row>
    <row r="474" spans="1:26" x14ac:dyDescent="0.3">
      <c r="A474" s="15" t="s">
        <v>2710</v>
      </c>
      <c r="B474" s="12" t="str">
        <f>IFERROR(INDEX(Mots!$B:$B,MATCH($A474,Mots!$A:$A,0)),"introuvable")</f>
        <v>la soupe</v>
      </c>
      <c r="C474" s="15" t="s">
        <v>7740</v>
      </c>
      <c r="I474" s="15" t="s">
        <v>702</v>
      </c>
      <c r="N474" s="15" t="s">
        <v>7711</v>
      </c>
      <c r="O474" s="15" t="s">
        <v>7713</v>
      </c>
    </row>
    <row r="475" spans="1:26" x14ac:dyDescent="0.3">
      <c r="A475" s="15" t="s">
        <v>2715</v>
      </c>
      <c r="B475" s="12" t="str">
        <f>IFERROR(INDEX(Mots!$B:$B,MATCH($A475,Mots!$A:$A,0)),"introuvable")</f>
        <v>des filets de perche</v>
      </c>
      <c r="C475" s="15" t="s">
        <v>7749</v>
      </c>
      <c r="I475" s="15" t="s">
        <v>702</v>
      </c>
      <c r="N475" s="15" t="s">
        <v>7711</v>
      </c>
      <c r="O475" s="15" t="s">
        <v>7713</v>
      </c>
    </row>
    <row r="476" spans="1:26" x14ac:dyDescent="0.3">
      <c r="A476" s="15" t="s">
        <v>2718</v>
      </c>
      <c r="B476" s="12" t="str">
        <f>IFERROR(INDEX(Mots!$B:$B,MATCH($A476,Mots!$A:$A,0)),"introuvable")</f>
        <v>un filet de truite</v>
      </c>
      <c r="C476" s="15" t="s">
        <v>7749</v>
      </c>
      <c r="I476" s="15" t="s">
        <v>702</v>
      </c>
      <c r="N476" s="15" t="s">
        <v>7711</v>
      </c>
      <c r="O476" s="15" t="s">
        <v>7713</v>
      </c>
    </row>
    <row r="477" spans="1:26" x14ac:dyDescent="0.3">
      <c r="A477" s="15" t="s">
        <v>2721</v>
      </c>
      <c r="B477" s="12" t="str">
        <f>IFERROR(INDEX(Mots!$B:$B,MATCH($A477,Mots!$A:$A,0)),"introuvable")</f>
        <v>l'ami</v>
      </c>
      <c r="Z477" s="15" t="s">
        <v>7788</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9406</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7718</v>
      </c>
    </row>
    <row r="484" spans="1:14" x14ac:dyDescent="0.3">
      <c r="A484" s="15" t="s">
        <v>2765</v>
      </c>
      <c r="B484" s="12" t="str">
        <f>IFERROR(INDEX(Mots!$B:$B,MATCH($A484,Mots!$A:$A,0)),"introuvable")</f>
        <v>le lavabo</v>
      </c>
      <c r="I484" s="15" t="s">
        <v>2762</v>
      </c>
      <c r="N484" s="15" t="s">
        <v>7718</v>
      </c>
    </row>
    <row r="485" spans="1:14" x14ac:dyDescent="0.3">
      <c r="A485" s="15" t="s">
        <v>2768</v>
      </c>
      <c r="B485" s="12" t="str">
        <f>IFERROR(INDEX(Mots!$B:$B,MATCH($A485,Mots!$A:$A,0)),"introuvable")</f>
        <v>le savon</v>
      </c>
      <c r="I485" s="15" t="s">
        <v>2762</v>
      </c>
      <c r="N485" s="15" t="s">
        <v>7718</v>
      </c>
    </row>
    <row r="486" spans="1:14" x14ac:dyDescent="0.3">
      <c r="A486" s="15" t="s">
        <v>2772</v>
      </c>
      <c r="B486" s="12" t="str">
        <f>IFERROR(INDEX(Mots!$B:$B,MATCH($A486,Mots!$A:$A,0)),"introuvable")</f>
        <v>le miroir</v>
      </c>
      <c r="I486" s="15" t="s">
        <v>2762</v>
      </c>
      <c r="N486" s="15" t="s">
        <v>7718</v>
      </c>
    </row>
    <row r="487" spans="1:14" x14ac:dyDescent="0.3">
      <c r="A487" s="15" t="s">
        <v>2775</v>
      </c>
      <c r="B487" s="12" t="str">
        <f>IFERROR(INDEX(Mots!$B:$B,MATCH($A487,Mots!$A:$A,0)),"introuvable")</f>
        <v>le WC</v>
      </c>
      <c r="I487" s="15" t="s">
        <v>2762</v>
      </c>
      <c r="N487" s="15" t="s">
        <v>7718</v>
      </c>
    </row>
    <row r="488" spans="1:14" x14ac:dyDescent="0.3">
      <c r="A488" s="15" t="s">
        <v>2779</v>
      </c>
      <c r="B488" s="12" t="str">
        <f>IFERROR(INDEX(Mots!$B:$B,MATCH($A488,Mots!$A:$A,0)),"introuvable")</f>
        <v>la douche</v>
      </c>
      <c r="I488" s="15" t="s">
        <v>2762</v>
      </c>
      <c r="N488" s="15" t="s">
        <v>7718</v>
      </c>
    </row>
    <row r="489" spans="1:14" x14ac:dyDescent="0.3">
      <c r="A489" s="15" t="s">
        <v>2783</v>
      </c>
      <c r="B489" s="12" t="str">
        <f>IFERROR(INDEX(Mots!$B:$B,MATCH($A489,Mots!$A:$A,0)),"introuvable")</f>
        <v>la baignoire</v>
      </c>
      <c r="I489" s="15" t="s">
        <v>2762</v>
      </c>
      <c r="N489" s="15" t="s">
        <v>7718</v>
      </c>
    </row>
    <row r="490" spans="1:14" x14ac:dyDescent="0.3">
      <c r="A490" s="15" t="s">
        <v>2786</v>
      </c>
      <c r="B490" s="12" t="str">
        <f>IFERROR(INDEX(Mots!$B:$B,MATCH($A490,Mots!$A:$A,0)),"introuvable")</f>
        <v>le rasoir</v>
      </c>
      <c r="C490" s="15" t="s">
        <v>6884</v>
      </c>
      <c r="I490" s="15" t="s">
        <v>2762</v>
      </c>
      <c r="N490" s="15" t="s">
        <v>7718</v>
      </c>
    </row>
    <row r="491" spans="1:14" x14ac:dyDescent="0.3">
      <c r="A491" s="15" t="s">
        <v>2790</v>
      </c>
      <c r="B491" s="12" t="str">
        <f>IFERROR(INDEX(Mots!$B:$B,MATCH($A491,Mots!$A:$A,0)),"introuvable")</f>
        <v>le déodorant</v>
      </c>
      <c r="I491" s="15" t="s">
        <v>2762</v>
      </c>
      <c r="N491" s="15" t="s">
        <v>7718</v>
      </c>
    </row>
    <row r="492" spans="1:14" x14ac:dyDescent="0.3">
      <c r="A492" s="15" t="s">
        <v>2793</v>
      </c>
      <c r="B492" s="12" t="str">
        <f>IFERROR(INDEX(Mots!$B:$B,MATCH($A492,Mots!$A:$A,0)),"introuvable")</f>
        <v>le dentifrice</v>
      </c>
      <c r="I492" s="15" t="s">
        <v>2762</v>
      </c>
      <c r="N492" s="15" t="s">
        <v>7718</v>
      </c>
    </row>
    <row r="493" spans="1:14" x14ac:dyDescent="0.3">
      <c r="A493" s="15" t="s">
        <v>2797</v>
      </c>
      <c r="B493" s="12" t="str">
        <f>IFERROR(INDEX(Mots!$B:$B,MATCH($A493,Mots!$A:$A,0)),"introuvable")</f>
        <v>la brosse à dents</v>
      </c>
      <c r="I493" s="15" t="s">
        <v>2762</v>
      </c>
      <c r="N493" s="15" t="s">
        <v>7718</v>
      </c>
    </row>
    <row r="494" spans="1:14" x14ac:dyDescent="0.3">
      <c r="A494" s="15" t="s">
        <v>2800</v>
      </c>
      <c r="B494" s="12" t="str">
        <f>IFERROR(INDEX(Mots!$B:$B,MATCH($A494,Mots!$A:$A,0)),"introuvable")</f>
        <v>la branche d'un arbre</v>
      </c>
      <c r="C494" s="15" t="s">
        <v>7740</v>
      </c>
      <c r="E494" s="15" t="s">
        <v>2811</v>
      </c>
      <c r="I494" s="15" t="s">
        <v>3780</v>
      </c>
      <c r="N494" s="15" t="s">
        <v>7725</v>
      </c>
    </row>
    <row r="495" spans="1:14" x14ac:dyDescent="0.3">
      <c r="A495" s="15" t="s">
        <v>2804</v>
      </c>
      <c r="B495" s="12" t="str">
        <f>IFERROR(INDEX(Mots!$B:$B,MATCH($A495,Mots!$A:$A,0)),"introuvable")</f>
        <v>la fleur</v>
      </c>
      <c r="C495" s="15" t="s">
        <v>2811</v>
      </c>
      <c r="I495" s="15" t="s">
        <v>3780</v>
      </c>
      <c r="N495" s="15" t="s">
        <v>7725</v>
      </c>
    </row>
    <row r="496" spans="1:14" x14ac:dyDescent="0.3">
      <c r="A496" s="15" t="s">
        <v>2811</v>
      </c>
      <c r="B496" s="12" t="str">
        <f>IFERROR(INDEX(Mots!$B:$B,MATCH($A496,Mots!$A:$A,0)),"introuvable")</f>
        <v>la plante</v>
      </c>
      <c r="C496" s="15" t="s">
        <v>2811</v>
      </c>
      <c r="I496" s="15" t="s">
        <v>3780</v>
      </c>
      <c r="N496" s="15" t="s">
        <v>7725</v>
      </c>
    </row>
    <row r="497" spans="1:15" x14ac:dyDescent="0.3">
      <c r="A497" s="15" t="s">
        <v>2820</v>
      </c>
      <c r="B497" s="12" t="str">
        <f>IFERROR(INDEX(Mots!$B:$B,MATCH($A497,Mots!$A:$A,0)),"introuvable")</f>
        <v>l'arbre</v>
      </c>
      <c r="C497" s="15" t="s">
        <v>2811</v>
      </c>
      <c r="I497" s="15" t="s">
        <v>3780</v>
      </c>
      <c r="N497" s="15" t="s">
        <v>7725</v>
      </c>
    </row>
    <row r="498" spans="1:15" x14ac:dyDescent="0.3">
      <c r="A498" s="15" t="s">
        <v>2825</v>
      </c>
      <c r="B498" s="12" t="str">
        <f>IFERROR(INDEX(Mots!$B:$B,MATCH($A498,Mots!$A:$A,0)),"introuvable")</f>
        <v>l'herbe</v>
      </c>
      <c r="I498" s="15" t="s">
        <v>3780</v>
      </c>
      <c r="N498" s="15" t="s">
        <v>7725</v>
      </c>
    </row>
    <row r="499" spans="1:15" x14ac:dyDescent="0.3">
      <c r="A499" s="15" t="s">
        <v>2834</v>
      </c>
      <c r="B499" s="12" t="str">
        <f>IFERROR(INDEX(Mots!$B:$B,MATCH($A499,Mots!$A:$A,0)),"introuvable")</f>
        <v>le vélo</v>
      </c>
      <c r="C499" s="15" t="s">
        <v>7733</v>
      </c>
      <c r="I499" s="15" t="s">
        <v>2846</v>
      </c>
      <c r="N499" s="15" t="s">
        <v>7720</v>
      </c>
    </row>
    <row r="500" spans="1:15" x14ac:dyDescent="0.3">
      <c r="A500" s="15" t="s">
        <v>2843</v>
      </c>
      <c r="B500" s="12" t="str">
        <f>IFERROR(INDEX(Mots!$B:$B,MATCH($A500,Mots!$A:$A,0)),"introuvable")</f>
        <v>la moto</v>
      </c>
      <c r="C500" s="15" t="s">
        <v>7733</v>
      </c>
      <c r="I500" s="15" t="s">
        <v>2846</v>
      </c>
      <c r="N500" s="15" t="s">
        <v>7720</v>
      </c>
    </row>
    <row r="501" spans="1:15" x14ac:dyDescent="0.3">
      <c r="A501" s="15" t="s">
        <v>2846</v>
      </c>
      <c r="B501" s="12" t="str">
        <f>IFERROR(INDEX(Mots!$B:$B,MATCH($A501,Mots!$A:$A,0)),"introuvable")</f>
        <v>la voiture</v>
      </c>
      <c r="C501" s="15" t="s">
        <v>7733</v>
      </c>
      <c r="I501" s="15" t="s">
        <v>2846</v>
      </c>
      <c r="N501" s="15" t="s">
        <v>7720</v>
      </c>
    </row>
    <row r="502" spans="1:15" x14ac:dyDescent="0.3">
      <c r="A502" s="15" t="s">
        <v>2849</v>
      </c>
      <c r="B502" s="12" t="str">
        <f>IFERROR(INDEX(Mots!$B:$B,MATCH($A502,Mots!$A:$A,0)),"introuvable")</f>
        <v>le pickup</v>
      </c>
      <c r="C502" s="15" t="s">
        <v>7733</v>
      </c>
      <c r="I502" s="15" t="s">
        <v>2846</v>
      </c>
      <c r="N502" s="15" t="s">
        <v>7720</v>
      </c>
    </row>
    <row r="503" spans="1:15" x14ac:dyDescent="0.3">
      <c r="A503" s="15" t="s">
        <v>2852</v>
      </c>
      <c r="B503" s="12" t="str">
        <f>IFERROR(INDEX(Mots!$B:$B,MATCH($A503,Mots!$A:$A,0)),"introuvable")</f>
        <v>le  car postal</v>
      </c>
      <c r="C503" s="15" t="s">
        <v>7733</v>
      </c>
      <c r="I503" s="15" t="s">
        <v>2846</v>
      </c>
      <c r="N503" s="15" t="s">
        <v>7720</v>
      </c>
    </row>
    <row r="504" spans="1:15" x14ac:dyDescent="0.3">
      <c r="A504" s="15" t="s">
        <v>2856</v>
      </c>
      <c r="B504" s="12" t="str">
        <f>IFERROR(INDEX(Mots!$B:$B,MATCH($A504,Mots!$A:$A,0)),"introuvable")</f>
        <v>le camion</v>
      </c>
      <c r="C504" s="15" t="s">
        <v>7733</v>
      </c>
      <c r="I504" s="15" t="s">
        <v>2846</v>
      </c>
      <c r="N504" s="15" t="s">
        <v>7720</v>
      </c>
    </row>
    <row r="505" spans="1:15" x14ac:dyDescent="0.3">
      <c r="A505" s="15" t="s">
        <v>2859</v>
      </c>
      <c r="B505" s="12" t="str">
        <f>IFERROR(INDEX(Mots!$B:$B,MATCH($A505,Mots!$A:$A,0)),"introuvable")</f>
        <v>le tracteur</v>
      </c>
      <c r="C505" s="15" t="s">
        <v>7733</v>
      </c>
      <c r="I505" s="15" t="s">
        <v>2846</v>
      </c>
      <c r="N505" s="15" t="s">
        <v>7720</v>
      </c>
    </row>
    <row r="506" spans="1:15" x14ac:dyDescent="0.3">
      <c r="A506" s="15" t="s">
        <v>2862</v>
      </c>
      <c r="B506" s="12" t="str">
        <f>IFERROR(INDEX(Mots!$B:$B,MATCH($A506,Mots!$A:$A,0)),"introuvable")</f>
        <v>le train</v>
      </c>
      <c r="C506" s="15" t="s">
        <v>7733</v>
      </c>
      <c r="I506" s="15" t="s">
        <v>2846</v>
      </c>
      <c r="N506" s="15" t="s">
        <v>7720</v>
      </c>
    </row>
    <row r="507" spans="1:15" x14ac:dyDescent="0.3">
      <c r="A507" s="15" t="s">
        <v>2871</v>
      </c>
      <c r="B507" s="12" t="str">
        <f>IFERROR(INDEX(Mots!$B:$B,MATCH($A507,Mots!$A:$A,0)),"introuvable")</f>
        <v>la route</v>
      </c>
      <c r="C507" s="15" t="s">
        <v>7733</v>
      </c>
      <c r="I507" s="15" t="s">
        <v>2846</v>
      </c>
      <c r="N507" s="15" t="s">
        <v>7720</v>
      </c>
    </row>
    <row r="508" spans="1:15" x14ac:dyDescent="0.3">
      <c r="A508" s="15" t="s">
        <v>2876</v>
      </c>
      <c r="B508" s="12" t="str">
        <f>IFERROR(INDEX(Mots!$B:$B,MATCH($A508,Mots!$A:$A,0)),"introuvable")</f>
        <v>les feux de circulation</v>
      </c>
      <c r="I508" s="15" t="s">
        <v>2846</v>
      </c>
      <c r="N508" s="15" t="s">
        <v>7720</v>
      </c>
    </row>
    <row r="509" spans="1:15" x14ac:dyDescent="0.3">
      <c r="A509" s="15" t="s">
        <v>2884</v>
      </c>
      <c r="B509" s="12" t="str">
        <f>IFERROR(INDEX(Mots!$B:$B,MATCH($A509,Mots!$A:$A,0)),"introuvable")</f>
        <v>l'avion</v>
      </c>
      <c r="C509" s="15" t="s">
        <v>5288</v>
      </c>
      <c r="N509" s="15" t="s">
        <v>7720</v>
      </c>
    </row>
    <row r="510" spans="1:15" x14ac:dyDescent="0.3">
      <c r="A510" s="15" t="s">
        <v>2889</v>
      </c>
      <c r="B510" s="12" t="str">
        <f>IFERROR(INDEX(Mots!$B:$B,MATCH($A510,Mots!$A:$A,0)),"introuvable")</f>
        <v>l'helicoptère</v>
      </c>
      <c r="C510" s="15" t="s">
        <v>5288</v>
      </c>
      <c r="N510" s="15" t="s">
        <v>7720</v>
      </c>
    </row>
    <row r="511" spans="1:15" x14ac:dyDescent="0.3">
      <c r="A511" s="15" t="s">
        <v>2893</v>
      </c>
      <c r="B511" s="12" t="str">
        <f>IFERROR(INDEX(Mots!$B:$B,MATCH($A511,Mots!$A:$A,0)),"introuvable")</f>
        <v>le bateau</v>
      </c>
      <c r="C511" s="15" t="s">
        <v>7733</v>
      </c>
      <c r="N511" s="15" t="s">
        <v>7720</v>
      </c>
    </row>
    <row r="512" spans="1:15" x14ac:dyDescent="0.3">
      <c r="A512" s="15" t="s">
        <v>2901</v>
      </c>
      <c r="B512" s="12" t="str">
        <f>IFERROR(INDEX(Mots!$B:$B,MATCH($A512,Mots!$A:$A,0)),"introuvable")</f>
        <v>du rôti de boeuf</v>
      </c>
      <c r="C512" s="15" t="s">
        <v>7740</v>
      </c>
      <c r="I512" s="15" t="s">
        <v>702</v>
      </c>
      <c r="N512" s="15" t="s">
        <v>7711</v>
      </c>
      <c r="O512" s="15" t="s">
        <v>7713</v>
      </c>
    </row>
    <row r="513" spans="1:15" x14ac:dyDescent="0.3">
      <c r="A513" s="15" t="s">
        <v>2903</v>
      </c>
      <c r="B513" s="12" t="str">
        <f>IFERROR(INDEX(Mots!$B:$B,MATCH($A513,Mots!$A:$A,0)),"introuvable")</f>
        <v>le boeuf</v>
      </c>
      <c r="C513" s="15" t="s">
        <v>7740</v>
      </c>
      <c r="I513" s="15" t="s">
        <v>702</v>
      </c>
      <c r="N513" s="15" t="s">
        <v>7711</v>
      </c>
    </row>
    <row r="514" spans="1:15" x14ac:dyDescent="0.3">
      <c r="A514" s="15" t="s">
        <v>2907</v>
      </c>
      <c r="B514" s="12" t="str">
        <f>IFERROR(INDEX(Mots!$B:$B,MATCH($A514,Mots!$A:$A,0)),"introuvable")</f>
        <v>un steack de boeuf frites</v>
      </c>
      <c r="C514" s="15" t="s">
        <v>7740</v>
      </c>
      <c r="I514" s="15" t="s">
        <v>702</v>
      </c>
      <c r="N514" s="15" t="s">
        <v>7711</v>
      </c>
      <c r="O514" s="15" t="s">
        <v>7713</v>
      </c>
    </row>
    <row r="515" spans="1:15" x14ac:dyDescent="0.3">
      <c r="A515" s="15" t="s">
        <v>2910</v>
      </c>
      <c r="B515" s="12" t="str">
        <f>IFERROR(INDEX(Mots!$B:$B,MATCH($A515,Mots!$A:$A,0)),"introuvable")</f>
        <v>le porc</v>
      </c>
      <c r="C515" s="15" t="s">
        <v>7740</v>
      </c>
      <c r="I515" s="15" t="s">
        <v>702</v>
      </c>
      <c r="N515" s="15" t="s">
        <v>7711</v>
      </c>
    </row>
    <row r="516" spans="1:15" x14ac:dyDescent="0.3">
      <c r="A516" s="15" t="s">
        <v>2914</v>
      </c>
      <c r="B516" s="12" t="str">
        <f>IFERROR(INDEX(Mots!$B:$B,MATCH($A516,Mots!$A:$A,0)),"introuvable")</f>
        <v>du filet mignon de porc</v>
      </c>
      <c r="C516" s="15" t="s">
        <v>7740</v>
      </c>
      <c r="I516" s="15" t="s">
        <v>702</v>
      </c>
      <c r="N516" s="15" t="s">
        <v>7711</v>
      </c>
      <c r="O516" s="15" t="s">
        <v>7713</v>
      </c>
    </row>
    <row r="517" spans="1:15" x14ac:dyDescent="0.3">
      <c r="A517" s="15" t="s">
        <v>2918</v>
      </c>
      <c r="B517" s="12" t="str">
        <f>IFERROR(INDEX(Mots!$B:$B,MATCH($A517,Mots!$A:$A,0)),"introuvable")</f>
        <v>du rôti de porc</v>
      </c>
      <c r="C517" s="15" t="s">
        <v>7740</v>
      </c>
      <c r="I517" s="15" t="s">
        <v>702</v>
      </c>
      <c r="N517" s="15" t="s">
        <v>7711</v>
      </c>
      <c r="O517" s="15" t="s">
        <v>7713</v>
      </c>
    </row>
    <row r="518" spans="1:15" x14ac:dyDescent="0.3">
      <c r="A518" s="15" t="s">
        <v>2920</v>
      </c>
      <c r="B518" s="12" t="str">
        <f>IFERROR(INDEX(Mots!$B:$B,MATCH($A518,Mots!$A:$A,0)),"introuvable")</f>
        <v>une côtelette de porc</v>
      </c>
      <c r="C518" s="15" t="s">
        <v>7740</v>
      </c>
      <c r="I518" s="15" t="s">
        <v>702</v>
      </c>
      <c r="N518" s="15" t="s">
        <v>7711</v>
      </c>
      <c r="O518" s="15" t="s">
        <v>7713</v>
      </c>
    </row>
    <row r="519" spans="1:15" x14ac:dyDescent="0.3">
      <c r="A519" s="15" t="s">
        <v>2924</v>
      </c>
      <c r="B519" s="12" t="str">
        <f>IFERROR(INDEX(Mots!$B:$B,MATCH($A519,Mots!$A:$A,0)),"introuvable")</f>
        <v>le poulet</v>
      </c>
      <c r="C519" s="15" t="s">
        <v>7740</v>
      </c>
      <c r="I519" s="15" t="s">
        <v>702</v>
      </c>
      <c r="N519" s="15" t="s">
        <v>7711</v>
      </c>
    </row>
    <row r="520" spans="1:15" x14ac:dyDescent="0.3">
      <c r="A520" s="15" t="s">
        <v>2930</v>
      </c>
      <c r="B520" s="12" t="str">
        <f>IFERROR(INDEX(Mots!$B:$B,MATCH($A520,Mots!$A:$A,0)),"introuvable")</f>
        <v>un blanc de poulet</v>
      </c>
      <c r="I520" s="15" t="s">
        <v>702</v>
      </c>
      <c r="N520" s="15" t="s">
        <v>7711</v>
      </c>
      <c r="O520" s="15" t="s">
        <v>7713</v>
      </c>
    </row>
    <row r="521" spans="1:15" x14ac:dyDescent="0.3">
      <c r="A521" s="15" t="s">
        <v>2934</v>
      </c>
      <c r="B521" s="12" t="str">
        <f>IFERROR(INDEX(Mots!$B:$B,MATCH($A521,Mots!$A:$A,0)),"introuvable")</f>
        <v>une cuisse de poulet</v>
      </c>
      <c r="I521" s="15" t="s">
        <v>702</v>
      </c>
      <c r="N521" s="15" t="s">
        <v>7711</v>
      </c>
      <c r="O521" s="15" t="s">
        <v>7713</v>
      </c>
    </row>
    <row r="522" spans="1:15" x14ac:dyDescent="0.3">
      <c r="A522" s="15" t="s">
        <v>2938</v>
      </c>
      <c r="B522" s="12" t="str">
        <f>IFERROR(INDEX(Mots!$B:$B,MATCH($A522,Mots!$A:$A,0)),"introuvable")</f>
        <v>du poulet au curry</v>
      </c>
      <c r="C522" s="15" t="s">
        <v>7740</v>
      </c>
      <c r="I522" s="15" t="s">
        <v>702</v>
      </c>
      <c r="N522" s="15" t="s">
        <v>7711</v>
      </c>
      <c r="O522" s="15" t="s">
        <v>7713</v>
      </c>
    </row>
    <row r="523" spans="1:15" x14ac:dyDescent="0.3">
      <c r="A523" s="15" t="s">
        <v>2941</v>
      </c>
      <c r="B523" s="12" t="str">
        <f>IFERROR(INDEX(Mots!$B:$B,MATCH($A523,Mots!$A:$A,0)),"introuvable")</f>
        <v>Dacia Duster</v>
      </c>
      <c r="C523" s="15" t="s">
        <v>7733</v>
      </c>
      <c r="E523" s="15" t="s">
        <v>2846</v>
      </c>
      <c r="I523" s="15" t="s">
        <v>2846</v>
      </c>
      <c r="N523" s="15" t="s">
        <v>7720</v>
      </c>
    </row>
    <row r="524" spans="1:15" x14ac:dyDescent="0.3">
      <c r="A524" s="15" t="s">
        <v>2944</v>
      </c>
      <c r="B524" s="12" t="str">
        <f>IFERROR(INDEX(Mots!$B:$B,MATCH($A524,Mots!$A:$A,0)),"introuvable")</f>
        <v>le pare-brise</v>
      </c>
      <c r="C524" s="15" t="s">
        <v>7733</v>
      </c>
      <c r="E524" s="15" t="s">
        <v>2846</v>
      </c>
      <c r="I524" s="15" t="s">
        <v>2846</v>
      </c>
      <c r="N524" s="15" t="s">
        <v>7720</v>
      </c>
    </row>
    <row r="525" spans="1:15" x14ac:dyDescent="0.3">
      <c r="A525" s="15" t="s">
        <v>2948</v>
      </c>
      <c r="B525" s="12" t="str">
        <f>IFERROR(INDEX(Mots!$B:$B,MATCH($A525,Mots!$A:$A,0)),"introuvable")</f>
        <v>les essuie glace</v>
      </c>
      <c r="E525" s="15" t="s">
        <v>2846</v>
      </c>
      <c r="I525" s="15" t="s">
        <v>2846</v>
      </c>
      <c r="N525" s="15" t="s">
        <v>7720</v>
      </c>
    </row>
    <row r="526" spans="1:15" x14ac:dyDescent="0.3">
      <c r="A526" s="15" t="s">
        <v>2951</v>
      </c>
      <c r="B526" s="12" t="str">
        <f>IFERROR(INDEX(Mots!$B:$B,MATCH($A526,Mots!$A:$A,0)),"introuvable")</f>
        <v>le capot</v>
      </c>
      <c r="C526" s="15" t="s">
        <v>7733</v>
      </c>
      <c r="E526" s="15" t="s">
        <v>2846</v>
      </c>
      <c r="I526" s="15" t="s">
        <v>2846</v>
      </c>
      <c r="N526" s="15" t="s">
        <v>7720</v>
      </c>
    </row>
    <row r="527" spans="1:15" x14ac:dyDescent="0.3">
      <c r="A527" s="15" t="s">
        <v>2954</v>
      </c>
      <c r="B527" s="12" t="str">
        <f>IFERROR(INDEX(Mots!$B:$B,MATCH($A527,Mots!$A:$A,0)),"introuvable")</f>
        <v>l'aile</v>
      </c>
      <c r="E527" s="15" t="s">
        <v>2846</v>
      </c>
      <c r="I527" s="15" t="s">
        <v>2846</v>
      </c>
      <c r="N527" s="15" t="s">
        <v>7720</v>
      </c>
    </row>
    <row r="528" spans="1:15" x14ac:dyDescent="0.3">
      <c r="A528" s="15" t="s">
        <v>2957</v>
      </c>
      <c r="B528" s="12" t="str">
        <f>IFERROR(INDEX(Mots!$B:$B,MATCH($A528,Mots!$A:$A,0)),"introuvable")</f>
        <v>le pare-chocs</v>
      </c>
      <c r="C528" s="15" t="s">
        <v>7733</v>
      </c>
      <c r="E528" s="15" t="s">
        <v>2846</v>
      </c>
      <c r="I528" s="15" t="s">
        <v>2846</v>
      </c>
      <c r="N528" s="15" t="s">
        <v>7720</v>
      </c>
    </row>
    <row r="529" spans="1:24" x14ac:dyDescent="0.3">
      <c r="A529" s="15" t="s">
        <v>9642</v>
      </c>
      <c r="B529" s="12" t="str">
        <f>IFERROR(INDEX(Mots!$B:$B,MATCH($A529,Mots!$A:$A,0)),"introuvable")</f>
        <v>la jante</v>
      </c>
      <c r="C529" s="15" t="s">
        <v>4645</v>
      </c>
      <c r="E529" s="15" t="s">
        <v>2846</v>
      </c>
      <c r="I529" s="15" t="s">
        <v>2846</v>
      </c>
      <c r="N529" s="15" t="s">
        <v>7720</v>
      </c>
    </row>
    <row r="530" spans="1:24" x14ac:dyDescent="0.3">
      <c r="A530" s="15" t="s">
        <v>9641</v>
      </c>
      <c r="B530" s="12" t="str">
        <f>IFERROR(INDEX(Mots!$B:$B,MATCH($A530,Mots!$A:$A,0)),"introuvable")</f>
        <v>le pneu</v>
      </c>
      <c r="E530" s="15" t="s">
        <v>2846</v>
      </c>
      <c r="I530" s="15" t="s">
        <v>2846</v>
      </c>
      <c r="N530" s="15" t="s">
        <v>7720</v>
      </c>
    </row>
    <row r="531" spans="1:24" x14ac:dyDescent="0.3">
      <c r="A531" s="15" t="s">
        <v>2965</v>
      </c>
      <c r="B531" s="12" t="str">
        <f>IFERROR(INDEX(Mots!$B:$B,MATCH($A531,Mots!$A:$A,0)),"introuvable")</f>
        <v>la portière</v>
      </c>
      <c r="E531" s="15" t="s">
        <v>2846</v>
      </c>
      <c r="I531" s="15" t="s">
        <v>2846</v>
      </c>
      <c r="N531" s="15" t="s">
        <v>7720</v>
      </c>
    </row>
    <row r="532" spans="1:24" x14ac:dyDescent="0.3">
      <c r="A532" s="15" t="s">
        <v>2973</v>
      </c>
      <c r="B532" s="12" t="str">
        <f>IFERROR(INDEX(Mots!$B:$B,MATCH($A532,Mots!$A:$A,0)),"introuvable")</f>
        <v>le clignotant</v>
      </c>
      <c r="E532" s="15" t="s">
        <v>2846</v>
      </c>
      <c r="I532" s="15" t="s">
        <v>2846</v>
      </c>
      <c r="N532" s="15" t="s">
        <v>7720</v>
      </c>
    </row>
    <row r="533" spans="1:24" x14ac:dyDescent="0.3">
      <c r="A533" s="15" t="s">
        <v>2977</v>
      </c>
      <c r="B533" s="12" t="str">
        <f>IFERROR(INDEX(Mots!$B:$B,MATCH($A533,Mots!$A:$A,0)),"introuvable")</f>
        <v>le klaxon</v>
      </c>
      <c r="C533" s="15" t="s">
        <v>6831</v>
      </c>
      <c r="E533" s="15" t="s">
        <v>2846</v>
      </c>
      <c r="I533" s="15" t="s">
        <v>2846</v>
      </c>
      <c r="N533" s="15" t="s">
        <v>7720</v>
      </c>
    </row>
    <row r="534" spans="1:24" x14ac:dyDescent="0.3">
      <c r="A534" s="15" t="s">
        <v>2985</v>
      </c>
      <c r="B534" s="12" t="str">
        <f>IFERROR(INDEX(Mots!$B:$B,MATCH($A534,Mots!$A:$A,0)),"introuvable")</f>
        <v>le phare</v>
      </c>
      <c r="E534" s="15" t="s">
        <v>2846</v>
      </c>
      <c r="I534" s="15" t="s">
        <v>2846</v>
      </c>
      <c r="N534" s="15" t="s">
        <v>7720</v>
      </c>
    </row>
    <row r="535" spans="1:24" x14ac:dyDescent="0.3">
      <c r="A535" s="15" t="s">
        <v>2993</v>
      </c>
      <c r="B535" s="12" t="str">
        <f>IFERROR(INDEX(Mots!$B:$B,MATCH($A535,Mots!$A:$A,0)),"introuvable")</f>
        <v>le rétroviseur</v>
      </c>
      <c r="E535" s="15" t="s">
        <v>2846</v>
      </c>
      <c r="I535" s="15" t="s">
        <v>2846</v>
      </c>
      <c r="N535" s="15" t="s">
        <v>7720</v>
      </c>
    </row>
    <row r="536" spans="1:24" x14ac:dyDescent="0.3">
      <c r="A536" s="15" t="s">
        <v>3001</v>
      </c>
      <c r="B536" s="12" t="str">
        <f>IFERROR(INDEX(Mots!$B:$B,MATCH($A536,Mots!$A:$A,0)),"introuvable")</f>
        <v>le siège</v>
      </c>
      <c r="C536" s="15" t="s">
        <v>828</v>
      </c>
      <c r="E536" s="15" t="s">
        <v>2846</v>
      </c>
      <c r="I536" s="15" t="s">
        <v>2846</v>
      </c>
      <c r="N536" s="15" t="s">
        <v>7720</v>
      </c>
    </row>
    <row r="537" spans="1:24" x14ac:dyDescent="0.3">
      <c r="A537" s="15" t="s">
        <v>3004</v>
      </c>
      <c r="B537" s="12" t="str">
        <f>IFERROR(INDEX(Mots!$B:$B,MATCH($A537,Mots!$A:$A,0)),"introuvable")</f>
        <v>le volant</v>
      </c>
      <c r="E537" s="15" t="s">
        <v>2846</v>
      </c>
      <c r="I537" s="15" t="s">
        <v>2846</v>
      </c>
      <c r="N537" s="15" t="s">
        <v>7720</v>
      </c>
    </row>
    <row r="538" spans="1:24" x14ac:dyDescent="0.3">
      <c r="A538" s="15" t="s">
        <v>3013</v>
      </c>
      <c r="B538" s="12" t="str">
        <f>IFERROR(INDEX(Mots!$B:$B,MATCH($A538,Mots!$A:$A,0)),"introuvable")</f>
        <v>le tableau de bord</v>
      </c>
      <c r="C538" s="15" t="s">
        <v>7733</v>
      </c>
      <c r="E538" s="15" t="s">
        <v>2846</v>
      </c>
      <c r="I538" s="15" t="s">
        <v>2846</v>
      </c>
      <c r="N538" s="15" t="s">
        <v>7720</v>
      </c>
    </row>
    <row r="539" spans="1:24" x14ac:dyDescent="0.3">
      <c r="A539" s="15" t="s">
        <v>3017</v>
      </c>
      <c r="B539" s="12" t="str">
        <f>IFERROR(INDEX(Mots!$B:$B,MATCH($A539,Mots!$A:$A,0)),"introuvable")</f>
        <v>le coffre</v>
      </c>
      <c r="E539" s="15" t="s">
        <v>2846</v>
      </c>
      <c r="I539" s="15" t="s">
        <v>2846</v>
      </c>
      <c r="N539" s="15" t="s">
        <v>7720</v>
      </c>
    </row>
    <row r="540" spans="1:24" x14ac:dyDescent="0.3">
      <c r="A540" s="15" t="s">
        <v>3020</v>
      </c>
      <c r="B540" s="12" t="str">
        <f>IFERROR(INDEX(Mots!$B:$B,MATCH($A540,Mots!$A:$A,0)),"introuvable")</f>
        <v>la vitesse</v>
      </c>
      <c r="I540" s="15" t="s">
        <v>2846</v>
      </c>
      <c r="N540" s="15" t="s">
        <v>7720</v>
      </c>
      <c r="O540" s="15" t="s">
        <v>7729</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7731</v>
      </c>
      <c r="W542" s="15" t="s">
        <v>29</v>
      </c>
      <c r="X542" s="15" t="s">
        <v>7782</v>
      </c>
    </row>
    <row r="543" spans="1:24" x14ac:dyDescent="0.3">
      <c r="A543" s="15" t="s">
        <v>3034</v>
      </c>
      <c r="B543" s="12" t="str">
        <f>IFERROR(INDEX(Mots!$B:$B,MATCH($A543,Mots!$A:$A,0)),"introuvable")</f>
        <v>Julien</v>
      </c>
      <c r="E543" s="15" t="s">
        <v>7731</v>
      </c>
      <c r="W543" s="15" t="s">
        <v>29</v>
      </c>
      <c r="X543" s="15" t="s">
        <v>7782</v>
      </c>
    </row>
    <row r="544" spans="1:24" x14ac:dyDescent="0.3">
      <c r="A544" s="15" t="s">
        <v>3038</v>
      </c>
      <c r="B544" s="12" t="str">
        <f>IFERROR(INDEX(Mots!$B:$B,MATCH($A544,Mots!$A:$A,0)),"introuvable")</f>
        <v>Emma</v>
      </c>
      <c r="W544" s="15" t="s">
        <v>29</v>
      </c>
      <c r="X544" s="15" t="s">
        <v>7782</v>
      </c>
    </row>
    <row r="545" spans="1:24" x14ac:dyDescent="0.3">
      <c r="A545" s="15" t="s">
        <v>3042</v>
      </c>
      <c r="B545" s="12" t="str">
        <f>IFERROR(INDEX(Mots!$B:$B,MATCH($A545,Mots!$A:$A,0)),"introuvable")</f>
        <v>Loïc</v>
      </c>
      <c r="W545" s="15" t="s">
        <v>29</v>
      </c>
      <c r="X545" s="15" t="s">
        <v>7782</v>
      </c>
    </row>
    <row r="546" spans="1:24" x14ac:dyDescent="0.3">
      <c r="A546" s="15" t="s">
        <v>3046</v>
      </c>
      <c r="B546" s="12" t="str">
        <f>IFERROR(INDEX(Mots!$B:$B,MATCH($A546,Mots!$A:$A,0)),"introuvable")</f>
        <v>Emile, le copain de Mathilde</v>
      </c>
      <c r="W546" s="15" t="s">
        <v>7782</v>
      </c>
      <c r="X546" s="15" t="s">
        <v>7785</v>
      </c>
    </row>
    <row r="547" spans="1:24" x14ac:dyDescent="0.3">
      <c r="A547" s="15" t="s">
        <v>3050</v>
      </c>
      <c r="B547" s="12" t="str">
        <f>IFERROR(INDEX(Mots!$B:$B,MATCH($A547,Mots!$A:$A,0)),"introuvable")</f>
        <v>Eva, la copine de Julien</v>
      </c>
      <c r="E547" s="15" t="s">
        <v>7731</v>
      </c>
      <c r="W547" s="15" t="s">
        <v>7785</v>
      </c>
    </row>
    <row r="548" spans="1:24" x14ac:dyDescent="0.3">
      <c r="A548" s="15" t="s">
        <v>3054</v>
      </c>
      <c r="B548" s="12" t="str">
        <f>IFERROR(INDEX(Mots!$B:$B,MATCH($A548,Mots!$A:$A,0)),"introuvable")</f>
        <v>Paul, le copain d'Emma</v>
      </c>
      <c r="W548" s="15" t="s">
        <v>7782</v>
      </c>
      <c r="X548" s="15" t="s">
        <v>7785</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7731</v>
      </c>
      <c r="W551" s="15" t="s">
        <v>29</v>
      </c>
      <c r="X551" s="15" t="s">
        <v>7782</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7782</v>
      </c>
    </row>
    <row r="554" spans="1:24" x14ac:dyDescent="0.3">
      <c r="A554" s="15" t="s">
        <v>3074</v>
      </c>
      <c r="B554" s="12" t="str">
        <f>IFERROR(INDEX(Mots!$B:$B,MATCH($A554,Mots!$A:$A,0)),"introuvable")</f>
        <v>Docteur Nicole Ducrey Crettenand</v>
      </c>
      <c r="I554" s="15" t="s">
        <v>5057</v>
      </c>
      <c r="N554" s="15" t="s">
        <v>7718</v>
      </c>
    </row>
    <row r="555" spans="1:24" x14ac:dyDescent="0.3">
      <c r="A555" s="15" t="s">
        <v>3077</v>
      </c>
      <c r="B555" s="12" t="str">
        <f>IFERROR(INDEX(Mots!$B:$B,MATCH($A555,Mots!$A:$A,0)),"introuvable")</f>
        <v>Professeur Joseph-André Ghika, neurologue</v>
      </c>
      <c r="I555" s="15" t="s">
        <v>5057</v>
      </c>
      <c r="N555" s="15" t="s">
        <v>7718</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7782</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7718</v>
      </c>
    </row>
    <row r="564" spans="1:23" x14ac:dyDescent="0.3">
      <c r="A564" s="15" t="s">
        <v>3112</v>
      </c>
      <c r="B564" s="12" t="str">
        <f>IFERROR(INDEX(Mots!$B:$B,MATCH($A564,Mots!$A:$A,0)),"introuvable")</f>
        <v>la voix</v>
      </c>
      <c r="E564" s="15" t="s">
        <v>46</v>
      </c>
      <c r="N564" s="15" t="s">
        <v>7718</v>
      </c>
    </row>
    <row r="565" spans="1:23" x14ac:dyDescent="0.3">
      <c r="A565" s="15" t="s">
        <v>3116</v>
      </c>
      <c r="B565" s="12" t="str">
        <f>IFERROR(INDEX(Mots!$B:$B,MATCH($A565,Mots!$A:$A,0)),"introuvable")</f>
        <v>le cerveau</v>
      </c>
      <c r="C565" s="15" t="s">
        <v>7749</v>
      </c>
      <c r="E565" s="15" t="s">
        <v>46</v>
      </c>
      <c r="N565" s="15" t="s">
        <v>7718</v>
      </c>
    </row>
    <row r="566" spans="1:23" x14ac:dyDescent="0.3">
      <c r="A566" s="15" t="s">
        <v>3120</v>
      </c>
      <c r="B566" s="12" t="str">
        <f>IFERROR(INDEX(Mots!$B:$B,MATCH($A566,Mots!$A:$A,0)),"introuvable")</f>
        <v>le muscle</v>
      </c>
      <c r="C566" s="15" t="s">
        <v>7749</v>
      </c>
      <c r="E566" s="15" t="s">
        <v>46</v>
      </c>
      <c r="N566" s="15" t="s">
        <v>7718</v>
      </c>
    </row>
    <row r="567" spans="1:23" x14ac:dyDescent="0.3">
      <c r="A567" s="15" t="s">
        <v>3124</v>
      </c>
      <c r="B567" s="12" t="str">
        <f>IFERROR(INDEX(Mots!$B:$B,MATCH($A567,Mots!$A:$A,0)),"introuvable")</f>
        <v>le sang</v>
      </c>
      <c r="E567" s="15" t="s">
        <v>46</v>
      </c>
      <c r="N567" s="15" t="s">
        <v>7718</v>
      </c>
    </row>
    <row r="568" spans="1:23" x14ac:dyDescent="0.3">
      <c r="A568" s="15" t="s">
        <v>3128</v>
      </c>
      <c r="B568" s="12" t="str">
        <f>IFERROR(INDEX(Mots!$B:$B,MATCH($A568,Mots!$A:$A,0)),"introuvable")</f>
        <v>le squelette</v>
      </c>
      <c r="C568" s="15" t="s">
        <v>7749</v>
      </c>
      <c r="E568" s="15" t="s">
        <v>46</v>
      </c>
      <c r="N568" s="15" t="s">
        <v>7718</v>
      </c>
    </row>
    <row r="569" spans="1:23" x14ac:dyDescent="0.3">
      <c r="A569" s="15" t="s">
        <v>3132</v>
      </c>
      <c r="B569" s="12" t="str">
        <f>IFERROR(INDEX(Mots!$B:$B,MATCH($A569,Mots!$A:$A,0)),"introuvable")</f>
        <v>l'estomac</v>
      </c>
      <c r="C569" s="15" t="s">
        <v>7740</v>
      </c>
      <c r="E569" s="15" t="s">
        <v>46</v>
      </c>
      <c r="N569" s="15" t="s">
        <v>7718</v>
      </c>
    </row>
    <row r="570" spans="1:23" x14ac:dyDescent="0.3">
      <c r="A570" s="15" t="s">
        <v>3136</v>
      </c>
      <c r="B570" s="12" t="str">
        <f>IFERROR(INDEX(Mots!$B:$B,MATCH($A570,Mots!$A:$A,0)),"introuvable")</f>
        <v>l'ongle</v>
      </c>
      <c r="E570" s="15" t="s">
        <v>46</v>
      </c>
      <c r="N570" s="15" t="s">
        <v>7718</v>
      </c>
    </row>
    <row r="571" spans="1:23" x14ac:dyDescent="0.3">
      <c r="A571" s="15" t="s">
        <v>3140</v>
      </c>
      <c r="B571" s="12" t="str">
        <f>IFERROR(INDEX(Mots!$B:$B,MATCH($A571,Mots!$A:$A,0)),"introuvable")</f>
        <v>l'os</v>
      </c>
      <c r="C571" s="15" t="s">
        <v>7749</v>
      </c>
      <c r="E571" s="15" t="s">
        <v>46</v>
      </c>
      <c r="N571" s="15" t="s">
        <v>7718</v>
      </c>
    </row>
    <row r="572" spans="1:23" x14ac:dyDescent="0.3">
      <c r="A572" s="15" t="s">
        <v>3144</v>
      </c>
      <c r="B572" s="12" t="str">
        <f>IFERROR(INDEX(Mots!$B:$B,MATCH($A572,Mots!$A:$A,0)),"introuvable")</f>
        <v>faire les vitres</v>
      </c>
      <c r="I572" s="15" t="s">
        <v>34</v>
      </c>
      <c r="N572" s="15" t="s">
        <v>6959</v>
      </c>
    </row>
    <row r="573" spans="1:23" x14ac:dyDescent="0.3">
      <c r="A573" s="15" t="s">
        <v>3147</v>
      </c>
      <c r="B573" s="12" t="str">
        <f>IFERROR(INDEX(Mots!$B:$B,MATCH($A573,Mots!$A:$A,0)),"introuvable")</f>
        <v>la serpillière</v>
      </c>
      <c r="C573" s="15" t="s">
        <v>4645</v>
      </c>
      <c r="I573" s="15" t="s">
        <v>34</v>
      </c>
      <c r="N573" s="15" t="s">
        <v>6959</v>
      </c>
    </row>
    <row r="574" spans="1:23" x14ac:dyDescent="0.3">
      <c r="A574" s="15" t="s">
        <v>3151</v>
      </c>
      <c r="B574" s="12" t="str">
        <f>IFERROR(INDEX(Mots!$B:$B,MATCH($A574,Mots!$A:$A,0)),"introuvable")</f>
        <v>l'aspirateur</v>
      </c>
      <c r="C574" s="15" t="s">
        <v>5288</v>
      </c>
      <c r="I574" s="15" t="s">
        <v>34</v>
      </c>
      <c r="N574" s="15" t="s">
        <v>6959</v>
      </c>
    </row>
    <row r="575" spans="1:23" x14ac:dyDescent="0.3">
      <c r="A575" s="15" t="s">
        <v>3159</v>
      </c>
      <c r="B575" s="12" t="str">
        <f>IFERROR(INDEX(Mots!$B:$B,MATCH($A575,Mots!$A:$A,0)),"introuvable")</f>
        <v>le chiffon</v>
      </c>
      <c r="C575" s="15" t="s">
        <v>4645</v>
      </c>
      <c r="I575" s="15" t="s">
        <v>34</v>
      </c>
      <c r="N575" s="15" t="s">
        <v>6959</v>
      </c>
    </row>
    <row r="576" spans="1:23" x14ac:dyDescent="0.3">
      <c r="A576" s="15" t="s">
        <v>3163</v>
      </c>
      <c r="B576" s="12" t="str">
        <f>IFERROR(INDEX(Mots!$B:$B,MATCH($A576,Mots!$A:$A,0)),"introuvable")</f>
        <v>le matériel pour récurrer</v>
      </c>
      <c r="I576" s="15" t="s">
        <v>34</v>
      </c>
      <c r="N576" s="15" t="s">
        <v>6959</v>
      </c>
    </row>
    <row r="577" spans="1:14" x14ac:dyDescent="0.3">
      <c r="A577" s="15" t="s">
        <v>3168</v>
      </c>
      <c r="B577" s="12" t="str">
        <f>IFERROR(INDEX(Mots!$B:$B,MATCH($A577,Mots!$A:$A,0)),"introuvable")</f>
        <v>le meister proper</v>
      </c>
      <c r="I577" s="15" t="s">
        <v>34</v>
      </c>
      <c r="N577" s="15" t="s">
        <v>6959</v>
      </c>
    </row>
    <row r="578" spans="1:14" x14ac:dyDescent="0.3">
      <c r="A578" s="15" t="s">
        <v>3172</v>
      </c>
      <c r="B578" s="12" t="str">
        <f>IFERROR(INDEX(Mots!$B:$B,MATCH($A578,Mots!$A:$A,0)),"introuvable")</f>
        <v>l'éponge</v>
      </c>
      <c r="C578" s="15" t="s">
        <v>6831</v>
      </c>
      <c r="I578" s="15" t="s">
        <v>34</v>
      </c>
      <c r="N578" s="15" t="s">
        <v>6959</v>
      </c>
    </row>
    <row r="579" spans="1:14" x14ac:dyDescent="0.3">
      <c r="A579" s="15" t="s">
        <v>3176</v>
      </c>
      <c r="B579" s="12" t="str">
        <f>IFERROR(INDEX(Mots!$B:$B,MATCH($A579,Mots!$A:$A,0)),"introuvable")</f>
        <v>la chambre</v>
      </c>
      <c r="I579" s="15" t="s">
        <v>3176</v>
      </c>
      <c r="N579" s="15" t="s">
        <v>7727</v>
      </c>
    </row>
    <row r="580" spans="1:14" x14ac:dyDescent="0.3">
      <c r="A580" s="15" t="s">
        <v>3180</v>
      </c>
      <c r="B580" s="12" t="str">
        <f>IFERROR(INDEX(Mots!$B:$B,MATCH($A580,Mots!$A:$A,0)),"introuvable")</f>
        <v>le lit</v>
      </c>
      <c r="C580" s="15" t="s">
        <v>828</v>
      </c>
      <c r="I580" s="15" t="s">
        <v>3176</v>
      </c>
      <c r="N580" s="15" t="s">
        <v>7727</v>
      </c>
    </row>
    <row r="581" spans="1:14" x14ac:dyDescent="0.3">
      <c r="A581" s="15" t="s">
        <v>3183</v>
      </c>
      <c r="B581" s="12" t="str">
        <f>IFERROR(INDEX(Mots!$B:$B,MATCH($A581,Mots!$A:$A,0)),"introuvable")</f>
        <v>le matelas</v>
      </c>
      <c r="I581" s="15" t="s">
        <v>3176</v>
      </c>
      <c r="N581" s="15" t="s">
        <v>7727</v>
      </c>
    </row>
    <row r="582" spans="1:14" x14ac:dyDescent="0.3">
      <c r="A582" s="15" t="s">
        <v>3188</v>
      </c>
      <c r="B582" s="12" t="str">
        <f>IFERROR(INDEX(Mots!$B:$B,MATCH($A582,Mots!$A:$A,0)),"introuvable")</f>
        <v>l'oreiller</v>
      </c>
      <c r="I582" s="15" t="s">
        <v>3176</v>
      </c>
      <c r="N582" s="15" t="s">
        <v>7727</v>
      </c>
    </row>
    <row r="583" spans="1:14" x14ac:dyDescent="0.3">
      <c r="A583" s="15" t="s">
        <v>3192</v>
      </c>
      <c r="B583" s="12" t="str">
        <f>IFERROR(INDEX(Mots!$B:$B,MATCH($A583,Mots!$A:$A,0)),"introuvable")</f>
        <v>le duvet</v>
      </c>
      <c r="C583" s="15" t="s">
        <v>6572</v>
      </c>
      <c r="I583" s="15" t="s">
        <v>3176</v>
      </c>
      <c r="N583" s="15" t="s">
        <v>7727</v>
      </c>
    </row>
    <row r="584" spans="1:14" x14ac:dyDescent="0.3">
      <c r="A584" s="15" t="s">
        <v>3195</v>
      </c>
      <c r="B584" s="12" t="str">
        <f>IFERROR(INDEX(Mots!$B:$B,MATCH($A584,Mots!$A:$A,0)),"introuvable")</f>
        <v>le réveil</v>
      </c>
      <c r="G584" s="15" t="s">
        <v>7799</v>
      </c>
      <c r="I584" s="15" t="s">
        <v>3176</v>
      </c>
      <c r="N584" s="15" t="s">
        <v>7727</v>
      </c>
    </row>
    <row r="585" spans="1:14" x14ac:dyDescent="0.3">
      <c r="A585" s="15" t="s">
        <v>3200</v>
      </c>
      <c r="B585" s="12" t="str">
        <f>IFERROR(INDEX(Mots!$B:$B,MATCH($A585,Mots!$A:$A,0)),"introuvable")</f>
        <v>l'armoire</v>
      </c>
      <c r="C585" s="15" t="s">
        <v>828</v>
      </c>
      <c r="I585" s="15" t="s">
        <v>3176</v>
      </c>
      <c r="N585" s="15" t="s">
        <v>7727</v>
      </c>
    </row>
    <row r="586" spans="1:14" x14ac:dyDescent="0.3">
      <c r="A586" s="15" t="s">
        <v>3203</v>
      </c>
      <c r="B586" s="12" t="str">
        <f>IFERROR(INDEX(Mots!$B:$B,MATCH($A586,Mots!$A:$A,0)),"introuvable")</f>
        <v>la corbeille à linge</v>
      </c>
      <c r="C586" s="15" t="s">
        <v>6216</v>
      </c>
      <c r="I586" s="15" t="s">
        <v>2762</v>
      </c>
      <c r="N586" s="15" t="s">
        <v>6959</v>
      </c>
    </row>
    <row r="587" spans="1:14" x14ac:dyDescent="0.3">
      <c r="A587" s="15" t="s">
        <v>3206</v>
      </c>
      <c r="B587" s="12" t="str">
        <f>IFERROR(INDEX(Mots!$B:$B,MATCH($A587,Mots!$A:$A,0)),"introuvable")</f>
        <v>le panier à linge</v>
      </c>
      <c r="I587" s="15" t="s">
        <v>2762</v>
      </c>
      <c r="N587" s="15" t="s">
        <v>6959</v>
      </c>
    </row>
    <row r="588" spans="1:14" x14ac:dyDescent="0.3">
      <c r="A588" s="15" t="s">
        <v>3210</v>
      </c>
      <c r="B588" s="12" t="str">
        <f>IFERROR(INDEX(Mots!$B:$B,MATCH($A588,Mots!$A:$A,0)),"introuvable")</f>
        <v>la lessive</v>
      </c>
      <c r="I588" s="15" t="s">
        <v>2762</v>
      </c>
      <c r="N588" s="15" t="s">
        <v>6959</v>
      </c>
    </row>
    <row r="589" spans="1:14" x14ac:dyDescent="0.3">
      <c r="A589" s="15" t="s">
        <v>3214</v>
      </c>
      <c r="B589" s="12" t="str">
        <f>IFERROR(INDEX(Mots!$B:$B,MATCH($A589,Mots!$A:$A,0)),"introuvable")</f>
        <v>le linge</v>
      </c>
      <c r="C589" s="15" t="s">
        <v>6572</v>
      </c>
      <c r="I589" s="15" t="s">
        <v>2762</v>
      </c>
      <c r="N589" s="15" t="s">
        <v>6959</v>
      </c>
    </row>
    <row r="590" spans="1:14" x14ac:dyDescent="0.3">
      <c r="A590" s="15" t="s">
        <v>3218</v>
      </c>
      <c r="B590" s="12" t="str">
        <f>IFERROR(INDEX(Mots!$B:$B,MATCH($A590,Mots!$A:$A,0)),"introuvable")</f>
        <v>le bureau</v>
      </c>
      <c r="I590" s="15" t="s">
        <v>73</v>
      </c>
      <c r="N590" s="15" t="s">
        <v>7375</v>
      </c>
    </row>
    <row r="591" spans="1:14" x14ac:dyDescent="0.3">
      <c r="A591" s="15" t="s">
        <v>3221</v>
      </c>
      <c r="B591" s="12" t="str">
        <f>IFERROR(INDEX(Mots!$B:$B,MATCH($A591,Mots!$A:$A,0)),"introuvable")</f>
        <v>le classeur</v>
      </c>
      <c r="C591" s="15" t="s">
        <v>828</v>
      </c>
      <c r="I591" s="15" t="s">
        <v>73</v>
      </c>
      <c r="N591" s="15" t="s">
        <v>7375</v>
      </c>
    </row>
    <row r="592" spans="1:14" x14ac:dyDescent="0.3">
      <c r="A592" s="15" t="s">
        <v>3224</v>
      </c>
      <c r="B592" s="12" t="str">
        <f>IFERROR(INDEX(Mots!$B:$B,MATCH($A592,Mots!$A:$A,0)),"introuvable")</f>
        <v>la calculatrice</v>
      </c>
      <c r="C592" s="15" t="s">
        <v>5288</v>
      </c>
      <c r="I592" s="15" t="s">
        <v>73</v>
      </c>
      <c r="N592" s="15" t="s">
        <v>7375</v>
      </c>
    </row>
    <row r="593" spans="1:15" x14ac:dyDescent="0.3">
      <c r="A593" s="15" t="s">
        <v>3228</v>
      </c>
      <c r="B593" s="12" t="str">
        <f>IFERROR(INDEX(Mots!$B:$B,MATCH($A593,Mots!$A:$A,0)),"introuvable")</f>
        <v>l'ordinateur</v>
      </c>
      <c r="C593" s="15" t="s">
        <v>5288</v>
      </c>
      <c r="I593" s="15" t="s">
        <v>73</v>
      </c>
      <c r="N593" s="15" t="s">
        <v>7375</v>
      </c>
    </row>
    <row r="594" spans="1:15" x14ac:dyDescent="0.3">
      <c r="A594" s="15" t="s">
        <v>3233</v>
      </c>
      <c r="B594" s="12" t="str">
        <f>IFERROR(INDEX(Mots!$B:$B,MATCH($A594,Mots!$A:$A,0)),"introuvable")</f>
        <v>l'essence</v>
      </c>
      <c r="E594" s="15" t="s">
        <v>2846</v>
      </c>
      <c r="I594" s="15" t="s">
        <v>2846</v>
      </c>
      <c r="N594" s="15" t="s">
        <v>7720</v>
      </c>
      <c r="O594" s="15" t="s">
        <v>7729</v>
      </c>
    </row>
    <row r="595" spans="1:15" x14ac:dyDescent="0.3">
      <c r="A595" s="15" t="s">
        <v>3237</v>
      </c>
      <c r="B595" s="12" t="str">
        <f>IFERROR(INDEX(Mots!$B:$B,MATCH($A595,Mots!$A:$A,0)),"introuvable")</f>
        <v>la jauge d'huile</v>
      </c>
      <c r="C595" s="15" t="s">
        <v>4645</v>
      </c>
      <c r="I595" s="15" t="s">
        <v>2846</v>
      </c>
      <c r="N595" s="15" t="s">
        <v>7720</v>
      </c>
      <c r="O595" s="15" t="s">
        <v>7729</v>
      </c>
    </row>
    <row r="596" spans="1:15" x14ac:dyDescent="0.3">
      <c r="A596" s="15" t="s">
        <v>3240</v>
      </c>
      <c r="B596" s="12" t="str">
        <f>IFERROR(INDEX(Mots!$B:$B,MATCH($A596,Mots!$A:$A,0)),"introuvable")</f>
        <v>l'huile moteur</v>
      </c>
      <c r="E596" s="15" t="s">
        <v>2846</v>
      </c>
      <c r="I596" s="15" t="s">
        <v>2846</v>
      </c>
      <c r="N596" s="15" t="s">
        <v>7720</v>
      </c>
      <c r="O596" s="15" t="s">
        <v>7729</v>
      </c>
    </row>
    <row r="597" spans="1:15" x14ac:dyDescent="0.3">
      <c r="A597" s="15" t="s">
        <v>3244</v>
      </c>
      <c r="B597" s="12" t="str">
        <f>IFERROR(INDEX(Mots!$B:$B,MATCH($A597,Mots!$A:$A,0)),"introuvable")</f>
        <v>le liquide lave-glace</v>
      </c>
      <c r="E597" s="15" t="s">
        <v>2846</v>
      </c>
      <c r="I597" s="15" t="s">
        <v>2846</v>
      </c>
      <c r="N597" s="15" t="s">
        <v>7720</v>
      </c>
      <c r="O597" s="15" t="s">
        <v>7729</v>
      </c>
    </row>
    <row r="598" spans="1:15" x14ac:dyDescent="0.3">
      <c r="A598" s="15" t="s">
        <v>3249</v>
      </c>
      <c r="B598" s="12" t="str">
        <f>IFERROR(INDEX(Mots!$B:$B,MATCH($A598,Mots!$A:$A,0)),"introuvable")</f>
        <v>l'entonnoir</v>
      </c>
      <c r="C598" s="15" t="s">
        <v>6831</v>
      </c>
      <c r="I598" s="15" t="s">
        <v>2846</v>
      </c>
      <c r="J598" s="15" t="s">
        <v>3780</v>
      </c>
      <c r="N598" s="15" t="s">
        <v>7720</v>
      </c>
      <c r="O598" s="15" t="s">
        <v>7729</v>
      </c>
    </row>
    <row r="599" spans="1:15" x14ac:dyDescent="0.3">
      <c r="A599" s="15" t="s">
        <v>3253</v>
      </c>
      <c r="B599" s="12" t="str">
        <f>IFERROR(INDEX(Mots!$B:$B,MATCH($A599,Mots!$A:$A,0)),"introuvable")</f>
        <v>la paire de slip</v>
      </c>
      <c r="C599" s="15" t="s">
        <v>6572</v>
      </c>
      <c r="N599" s="15" t="s">
        <v>7716</v>
      </c>
    </row>
    <row r="600" spans="1:15" x14ac:dyDescent="0.3">
      <c r="A600" s="15" t="s">
        <v>3257</v>
      </c>
      <c r="B600" s="12" t="str">
        <f>IFERROR(INDEX(Mots!$B:$B,MATCH($A600,Mots!$A:$A,0)),"introuvable")</f>
        <v>les bas</v>
      </c>
      <c r="C600" s="15" t="s">
        <v>6572</v>
      </c>
      <c r="N600" s="15" t="s">
        <v>7716</v>
      </c>
    </row>
    <row r="601" spans="1:15" x14ac:dyDescent="0.3">
      <c r="A601" s="15" t="s">
        <v>3262</v>
      </c>
      <c r="B601" s="12" t="str">
        <f>IFERROR(INDEX(Mots!$B:$B,MATCH($A601,Mots!$A:$A,0)),"introuvable")</f>
        <v>le pantalon</v>
      </c>
      <c r="C601" s="15" t="s">
        <v>6572</v>
      </c>
      <c r="N601" s="15" t="s">
        <v>7716</v>
      </c>
    </row>
    <row r="602" spans="1:15" x14ac:dyDescent="0.3">
      <c r="A602" s="15" t="s">
        <v>3267</v>
      </c>
      <c r="B602" s="12" t="str">
        <f>IFERROR(INDEX(Mots!$B:$B,MATCH($A602,Mots!$A:$A,0)),"introuvable")</f>
        <v>le jeans (pantalon)</v>
      </c>
      <c r="C602" s="15" t="s">
        <v>6572</v>
      </c>
      <c r="N602" s="15" t="s">
        <v>7716</v>
      </c>
    </row>
    <row r="603" spans="1:15" x14ac:dyDescent="0.3">
      <c r="A603" s="15" t="s">
        <v>3270</v>
      </c>
      <c r="B603" s="12" t="str">
        <f>IFERROR(INDEX(Mots!$B:$B,MATCH($A603,Mots!$A:$A,0)),"introuvable")</f>
        <v>les cuissettes</v>
      </c>
      <c r="C603" s="15" t="s">
        <v>6572</v>
      </c>
      <c r="N603" s="15" t="s">
        <v>7716</v>
      </c>
    </row>
    <row r="604" spans="1:15" x14ac:dyDescent="0.3">
      <c r="A604" s="15" t="s">
        <v>3275</v>
      </c>
      <c r="B604" s="12" t="str">
        <f>IFERROR(INDEX(Mots!$B:$B,MATCH($A604,Mots!$A:$A,0)),"introuvable")</f>
        <v>la jupe</v>
      </c>
      <c r="C604" s="15" t="s">
        <v>6572</v>
      </c>
      <c r="N604" s="15" t="s">
        <v>7716</v>
      </c>
    </row>
    <row r="605" spans="1:15" x14ac:dyDescent="0.3">
      <c r="A605" s="15" t="s">
        <v>3279</v>
      </c>
      <c r="B605" s="12" t="str">
        <f>IFERROR(INDEX(Mots!$B:$B,MATCH($A605,Mots!$A:$A,0)),"introuvable")</f>
        <v>le juste-au-corps</v>
      </c>
      <c r="C605" s="15" t="s">
        <v>6572</v>
      </c>
      <c r="N605" s="15" t="s">
        <v>7716</v>
      </c>
    </row>
    <row r="606" spans="1:15" x14ac:dyDescent="0.3">
      <c r="A606" s="15" t="s">
        <v>3283</v>
      </c>
      <c r="B606" s="12" t="str">
        <f>IFERROR(INDEX(Mots!$B:$B,MATCH($A606,Mots!$A:$A,0)),"introuvable")</f>
        <v>le t-shirt</v>
      </c>
      <c r="C606" s="15" t="s">
        <v>6572</v>
      </c>
      <c r="N606" s="15" t="s">
        <v>7716</v>
      </c>
    </row>
    <row r="607" spans="1:15" x14ac:dyDescent="0.3">
      <c r="A607" s="15" t="s">
        <v>3287</v>
      </c>
      <c r="B607" s="12" t="str">
        <f>IFERROR(INDEX(Mots!$B:$B,MATCH($A607,Mots!$A:$A,0)),"introuvable")</f>
        <v>la chemise</v>
      </c>
      <c r="C607" s="15" t="s">
        <v>6572</v>
      </c>
      <c r="N607" s="15" t="s">
        <v>7716</v>
      </c>
    </row>
    <row r="608" spans="1:15" x14ac:dyDescent="0.3">
      <c r="A608" s="15" t="s">
        <v>3296</v>
      </c>
      <c r="B608" s="12" t="str">
        <f>IFERROR(INDEX(Mots!$B:$B,MATCH($A608,Mots!$A:$A,0)),"introuvable")</f>
        <v>le polo</v>
      </c>
      <c r="C608" s="15" t="s">
        <v>6572</v>
      </c>
      <c r="N608" s="15" t="s">
        <v>7716</v>
      </c>
    </row>
    <row r="609" spans="1:14" x14ac:dyDescent="0.3">
      <c r="A609" s="15" t="s">
        <v>9449</v>
      </c>
      <c r="B609" s="12" t="str">
        <f>IFERROR(INDEX(Mots!$B:$B,MATCH($A609,Mots!$A:$A,0)),"introuvable")</f>
        <v>le pull ou pullover</v>
      </c>
      <c r="C609" s="15" t="s">
        <v>6572</v>
      </c>
      <c r="N609" s="15" t="s">
        <v>7716</v>
      </c>
    </row>
    <row r="610" spans="1:14" x14ac:dyDescent="0.3">
      <c r="A610" s="15" t="s">
        <v>3304</v>
      </c>
      <c r="B610" s="12" t="str">
        <f>IFERROR(INDEX(Mots!$B:$B,MATCH($A610,Mots!$A:$A,0)),"introuvable")</f>
        <v>la veste</v>
      </c>
      <c r="C610" s="15" t="s">
        <v>6572</v>
      </c>
      <c r="N610" s="15" t="s">
        <v>7716</v>
      </c>
    </row>
    <row r="611" spans="1:14" x14ac:dyDescent="0.3">
      <c r="A611" s="15" t="s">
        <v>3308</v>
      </c>
      <c r="B611" s="12" t="str">
        <f>IFERROR(INDEX(Mots!$B:$B,MATCH($A611,Mots!$A:$A,0)),"introuvable")</f>
        <v>le pain</v>
      </c>
      <c r="C611" s="15" t="s">
        <v>7740</v>
      </c>
      <c r="I611" s="15" t="s">
        <v>702</v>
      </c>
      <c r="N611" s="15" t="s">
        <v>7711</v>
      </c>
    </row>
    <row r="612" spans="1:14" x14ac:dyDescent="0.3">
      <c r="A612" s="15" t="s">
        <v>3312</v>
      </c>
      <c r="B612" s="12" t="str">
        <f>IFERROR(INDEX(Mots!$B:$B,MATCH($A612,Mots!$A:$A,0)),"introuvable")</f>
        <v>le gendarme</v>
      </c>
      <c r="C612" s="15" t="s">
        <v>7740</v>
      </c>
      <c r="I612" s="15" t="s">
        <v>702</v>
      </c>
      <c r="N612" s="15" t="s">
        <v>7711</v>
      </c>
    </row>
    <row r="613" spans="1:14" x14ac:dyDescent="0.3">
      <c r="A613" s="15" t="s">
        <v>3317</v>
      </c>
      <c r="B613" s="12" t="str">
        <f>IFERROR(INDEX(Mots!$B:$B,MATCH($A613,Mots!$A:$A,0)),"introuvable")</f>
        <v>la saucisse</v>
      </c>
      <c r="C613" s="15" t="s">
        <v>7740</v>
      </c>
      <c r="I613" s="15" t="s">
        <v>702</v>
      </c>
      <c r="N613" s="15" t="s">
        <v>7711</v>
      </c>
    </row>
    <row r="614" spans="1:14" x14ac:dyDescent="0.3">
      <c r="A614" s="15" t="s">
        <v>3321</v>
      </c>
      <c r="B614" s="12" t="str">
        <f>IFERROR(INDEX(Mots!$B:$B,MATCH($A614,Mots!$A:$A,0)),"introuvable")</f>
        <v>le café</v>
      </c>
      <c r="C614" s="15" t="s">
        <v>7742</v>
      </c>
      <c r="I614" s="15" t="s">
        <v>702</v>
      </c>
      <c r="N614" s="15" t="s">
        <v>7711</v>
      </c>
    </row>
    <row r="615" spans="1:14" x14ac:dyDescent="0.3">
      <c r="A615" s="15" t="s">
        <v>3327</v>
      </c>
      <c r="B615" s="12" t="str">
        <f>IFERROR(INDEX(Mots!$B:$B,MATCH($A615,Mots!$A:$A,0)),"introuvable")</f>
        <v>le fromage</v>
      </c>
      <c r="C615" s="15" t="s">
        <v>7740</v>
      </c>
      <c r="I615" s="15" t="s">
        <v>702</v>
      </c>
      <c r="N615" s="15" t="s">
        <v>7711</v>
      </c>
    </row>
    <row r="616" spans="1:14" x14ac:dyDescent="0.3">
      <c r="A616" s="15" t="s">
        <v>34</v>
      </c>
      <c r="B616" s="12" t="str">
        <f>IFERROR(INDEX(Mots!$B:$B,MATCH($A616,Mots!$A:$A,0)),"introuvable")</f>
        <v>la maison</v>
      </c>
      <c r="C616" s="15" t="s">
        <v>5388</v>
      </c>
      <c r="I616" s="15" t="s">
        <v>34</v>
      </c>
    </row>
    <row r="617" spans="1:14" x14ac:dyDescent="0.3">
      <c r="A617" s="15" t="s">
        <v>3339</v>
      </c>
      <c r="B617" s="12" t="str">
        <f>IFERROR(INDEX(Mots!$B:$B,MATCH($A617,Mots!$A:$A,0)),"introuvable")</f>
        <v>le chalet</v>
      </c>
      <c r="C617" s="15" t="s">
        <v>5388</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10076</v>
      </c>
      <c r="B621" s="12" t="str">
        <f>IFERROR(INDEX(Mots!$B:$B,MATCH($A621,Mots!$A:$A,0)),"introuvable")</f>
        <v>le store</v>
      </c>
      <c r="C621" s="15" t="s">
        <v>6831</v>
      </c>
      <c r="I621" s="15" t="s">
        <v>34</v>
      </c>
    </row>
    <row r="622" spans="1:14" x14ac:dyDescent="0.3">
      <c r="A622" s="15" t="s">
        <v>3355</v>
      </c>
      <c r="B622" s="12" t="str">
        <f>IFERROR(INDEX(Mots!$B:$B,MATCH($A622,Mots!$A:$A,0)),"introuvable")</f>
        <v>les volets</v>
      </c>
      <c r="C622" s="15" t="s">
        <v>4645</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9542</v>
      </c>
      <c r="B625" s="12" t="str">
        <f>IFERROR(INDEX(Mots!$B:$B,MATCH($A625,Mots!$A:$A,0)),"introuvable")</f>
        <v>l'interrupteur</v>
      </c>
      <c r="C625" s="15" t="s">
        <v>6831</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5388</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5288</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5288</v>
      </c>
      <c r="I633" s="15" t="s">
        <v>34</v>
      </c>
      <c r="J633" s="15" t="s">
        <v>817</v>
      </c>
      <c r="N633" s="15" t="s">
        <v>7727</v>
      </c>
    </row>
    <row r="634" spans="1:19" x14ac:dyDescent="0.3">
      <c r="A634" s="15" t="s">
        <v>3401</v>
      </c>
      <c r="B634" s="12" t="str">
        <f>IFERROR(INDEX(Mots!$B:$B,MATCH($A634,Mots!$A:$A,0)),"introuvable")</f>
        <v>le fourneau à pellets</v>
      </c>
      <c r="C634" s="15" t="s">
        <v>4645</v>
      </c>
      <c r="I634" s="15" t="s">
        <v>34</v>
      </c>
      <c r="J634" s="15" t="s">
        <v>817</v>
      </c>
      <c r="N634" s="15" t="s">
        <v>7727</v>
      </c>
    </row>
    <row r="635" spans="1:19" x14ac:dyDescent="0.3">
      <c r="A635" s="15" t="s">
        <v>3405</v>
      </c>
      <c r="B635" s="12" t="str">
        <f>IFERROR(INDEX(Mots!$B:$B,MATCH($A635,Mots!$A:$A,0)),"introuvable")</f>
        <v>accepter</v>
      </c>
      <c r="N635" s="15" t="s">
        <v>7752</v>
      </c>
    </row>
    <row r="636" spans="1:19" x14ac:dyDescent="0.3">
      <c r="A636" s="15" t="s">
        <v>3414</v>
      </c>
      <c r="B636" s="12" t="str">
        <f>IFERROR(INDEX(Mots!$B:$B,MATCH($A636,Mots!$A:$A,0)),"introuvable")</f>
        <v>acheter</v>
      </c>
      <c r="I636" s="15" t="s">
        <v>73</v>
      </c>
      <c r="N636" s="15" t="s">
        <v>7375</v>
      </c>
      <c r="O636" s="15" t="s">
        <v>7757</v>
      </c>
    </row>
    <row r="637" spans="1:19" x14ac:dyDescent="0.3">
      <c r="A637" s="15" t="s">
        <v>3422</v>
      </c>
      <c r="B637" s="12" t="str">
        <f>IFERROR(INDEX(Mots!$B:$B,MATCH($A637,Mots!$A:$A,0)),"introuvable")</f>
        <v>adulte</v>
      </c>
      <c r="S637" s="15" t="s">
        <v>7761</v>
      </c>
    </row>
    <row r="638" spans="1:19" x14ac:dyDescent="0.3">
      <c r="A638" s="15" t="s">
        <v>3434</v>
      </c>
      <c r="B638" s="12" t="str">
        <f>IFERROR(INDEX(Mots!$B:$B,MATCH($A638,Mots!$A:$A,0)),"introuvable")</f>
        <v>aider</v>
      </c>
      <c r="N638" s="15" t="s">
        <v>7757</v>
      </c>
      <c r="O638" s="15" t="s">
        <v>3435</v>
      </c>
    </row>
    <row r="639" spans="1:19" x14ac:dyDescent="0.3">
      <c r="A639" s="15" t="s">
        <v>3442</v>
      </c>
      <c r="B639" s="12" t="str">
        <f>IFERROR(INDEX(Mots!$B:$B,MATCH($A639,Mots!$A:$A,0)),"introuvable")</f>
        <v>ailleurs</v>
      </c>
      <c r="G639" s="15" t="s">
        <v>7805</v>
      </c>
    </row>
    <row r="640" spans="1:19" x14ac:dyDescent="0.3">
      <c r="A640" s="15" t="s">
        <v>3447</v>
      </c>
      <c r="B640" s="12" t="str">
        <f>IFERROR(INDEX(Mots!$B:$B,MATCH($A640,Mots!$A:$A,0)),"introuvable")</f>
        <v>aimable</v>
      </c>
      <c r="S640" s="15" t="s">
        <v>7768</v>
      </c>
    </row>
    <row r="641" spans="1:19" x14ac:dyDescent="0.3">
      <c r="A641" s="15" t="s">
        <v>3450</v>
      </c>
      <c r="B641" s="12" t="str">
        <f>IFERROR(INDEX(Mots!$B:$B,MATCH($A641,Mots!$A:$A,0)),"introuvable")</f>
        <v>aimer</v>
      </c>
      <c r="N641" s="15" t="s">
        <v>7755</v>
      </c>
    </row>
    <row r="642" spans="1:19" x14ac:dyDescent="0.3">
      <c r="A642" s="15" t="s">
        <v>3458</v>
      </c>
      <c r="B642" s="12" t="str">
        <f>IFERROR(INDEX(Mots!$B:$B,MATCH($A642,Mots!$A:$A,0)),"introuvable")</f>
        <v>aller</v>
      </c>
      <c r="I642" s="15" t="s">
        <v>3780</v>
      </c>
      <c r="N642" s="15" t="s">
        <v>7720</v>
      </c>
    </row>
    <row r="643" spans="1:19" x14ac:dyDescent="0.3">
      <c r="A643" s="15" t="s">
        <v>3466</v>
      </c>
      <c r="B643" s="12" t="str">
        <f>IFERROR(INDEX(Mots!$B:$B,MATCH($A643,Mots!$A:$A,0)),"introuvable")</f>
        <v>annoncer</v>
      </c>
      <c r="N643" s="15" t="s">
        <v>7752</v>
      </c>
      <c r="O643" s="15" t="s">
        <v>7027</v>
      </c>
    </row>
    <row r="644" spans="1:19" x14ac:dyDescent="0.3">
      <c r="A644" s="15" t="s">
        <v>3473</v>
      </c>
      <c r="B644" s="12" t="str">
        <f>IFERROR(INDEX(Mots!$B:$B,MATCH($A644,Mots!$A:$A,0)),"introuvable")</f>
        <v>appeler</v>
      </c>
      <c r="N644" s="15" t="s">
        <v>7752</v>
      </c>
    </row>
    <row r="645" spans="1:19" x14ac:dyDescent="0.3">
      <c r="A645" s="15" t="s">
        <v>3481</v>
      </c>
      <c r="B645" s="12" t="str">
        <f>IFERROR(INDEX(Mots!$B:$B,MATCH($A645,Mots!$A:$A,0)),"introuvable")</f>
        <v>apprendre</v>
      </c>
      <c r="N645" s="15" t="s">
        <v>7027</v>
      </c>
      <c r="O645" s="15" t="s">
        <v>7757</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4956</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7805</v>
      </c>
    </row>
    <row r="650" spans="1:19" x14ac:dyDescent="0.3">
      <c r="A650" s="15" t="s">
        <v>3515</v>
      </c>
      <c r="B650" s="12" t="str">
        <f>IFERROR(INDEX(Mots!$B:$B,MATCH($A650,Mots!$A:$A,0)),"introuvable")</f>
        <v>autant</v>
      </c>
      <c r="G650" s="15" t="s">
        <v>4956</v>
      </c>
    </row>
    <row r="651" spans="1:19" x14ac:dyDescent="0.3">
      <c r="A651" s="15" t="s">
        <v>3519</v>
      </c>
      <c r="B651" s="12" t="str">
        <f>IFERROR(INDEX(Mots!$B:$B,MATCH($A651,Mots!$A:$A,0)),"introuvable")</f>
        <v>autour</v>
      </c>
      <c r="G651" s="15" t="s">
        <v>7805</v>
      </c>
    </row>
    <row r="652" spans="1:19" x14ac:dyDescent="0.3">
      <c r="A652" s="15" t="s">
        <v>3528</v>
      </c>
      <c r="B652" s="12" t="str">
        <f>IFERROR(INDEX(Mots!$B:$B,MATCH($A652,Mots!$A:$A,0)),"introuvable")</f>
        <v>avouer</v>
      </c>
      <c r="N652" s="15" t="s">
        <v>7752</v>
      </c>
    </row>
    <row r="653" spans="1:19" x14ac:dyDescent="0.3">
      <c r="A653" s="15" t="s">
        <v>3532</v>
      </c>
      <c r="B653" s="12" t="str">
        <f>IFERROR(INDEX(Mots!$B:$B,MATCH($A653,Mots!$A:$A,0)),"introuvable")</f>
        <v>beaucoup</v>
      </c>
      <c r="G653" s="15" t="s">
        <v>4956</v>
      </c>
    </row>
    <row r="654" spans="1:19" x14ac:dyDescent="0.3">
      <c r="A654" s="15" t="s">
        <v>3536</v>
      </c>
      <c r="B654" s="12" t="str">
        <f>IFERROR(INDEX(Mots!$B:$B,MATCH($A654,Mots!$A:$A,0)),"introuvable")</f>
        <v>bien</v>
      </c>
      <c r="G654" s="15" t="s">
        <v>7805</v>
      </c>
    </row>
    <row r="655" spans="1:19" x14ac:dyDescent="0.3">
      <c r="A655" s="15" t="s">
        <v>3543</v>
      </c>
      <c r="B655" s="12" t="str">
        <f>IFERROR(INDEX(Mots!$B:$B,MATCH($A655,Mots!$A:$A,0)),"introuvable")</f>
        <v>bientôt</v>
      </c>
      <c r="G655" s="15" t="s">
        <v>7799</v>
      </c>
    </row>
    <row r="656" spans="1:19" x14ac:dyDescent="0.3">
      <c r="A656" s="15" t="s">
        <v>3548</v>
      </c>
      <c r="B656" s="12" t="str">
        <f>IFERROR(INDEX(Mots!$B:$B,MATCH($A656,Mots!$A:$A,0)),"introuvable")</f>
        <v>boire</v>
      </c>
      <c r="I656" s="15" t="s">
        <v>702</v>
      </c>
      <c r="N656" s="15" t="s">
        <v>7711</v>
      </c>
    </row>
    <row r="657" spans="1:23" x14ac:dyDescent="0.3">
      <c r="A657" s="15" t="s">
        <v>9505</v>
      </c>
      <c r="B657" s="12" t="str">
        <f>IFERROR(INDEX(Mots!$B:$B,MATCH($A657,Mots!$A:$A,0)),"introuvable")</f>
        <v>brun</v>
      </c>
      <c r="S657" s="15" t="s">
        <v>2321</v>
      </c>
    </row>
    <row r="658" spans="1:23" x14ac:dyDescent="0.3">
      <c r="A658" s="8" t="s">
        <v>9487</v>
      </c>
      <c r="B658" s="12" t="str">
        <f>IFERROR(INDEX(Mots!$B:$B,MATCH($A658,Mots!$A:$A,0)),"introuvable")</f>
        <v>cassé</v>
      </c>
      <c r="S658" s="15" t="s">
        <v>7770</v>
      </c>
    </row>
    <row r="659" spans="1:23" x14ac:dyDescent="0.3">
      <c r="A659" s="15" t="s">
        <v>3582</v>
      </c>
      <c r="B659" s="12" t="str">
        <f>IFERROR(INDEX(Mots!$B:$B,MATCH($A659,Mots!$A:$A,0)),"introuvable")</f>
        <v>changer</v>
      </c>
      <c r="I659" s="15" t="s">
        <v>3780</v>
      </c>
      <c r="N659" s="15" t="s">
        <v>7757</v>
      </c>
    </row>
    <row r="660" spans="1:23" x14ac:dyDescent="0.3">
      <c r="A660" s="15" t="s">
        <v>3588</v>
      </c>
      <c r="B660" s="12" t="str">
        <f>IFERROR(INDEX(Mots!$B:$B,MATCH($A660,Mots!$A:$A,0)),"introuvable")</f>
        <v>chanter</v>
      </c>
      <c r="I660" s="15" t="s">
        <v>7709</v>
      </c>
      <c r="N660" s="15" t="s">
        <v>7723</v>
      </c>
      <c r="O660" s="15" t="s">
        <v>7752</v>
      </c>
    </row>
    <row r="661" spans="1:23" x14ac:dyDescent="0.3">
      <c r="A661" s="15" t="s">
        <v>3603</v>
      </c>
      <c r="B661" s="12" t="str">
        <f>IFERROR(INDEX(Mots!$B:$B,MATCH($A661,Mots!$A:$A,0)),"introuvable")</f>
        <v>choisir</v>
      </c>
      <c r="N661" s="15" t="s">
        <v>7757</v>
      </c>
    </row>
    <row r="662" spans="1:23" x14ac:dyDescent="0.3">
      <c r="A662" s="15" t="s">
        <v>3610</v>
      </c>
      <c r="B662" s="12" t="str">
        <f>IFERROR(INDEX(Mots!$B:$B,MATCH($A662,Mots!$A:$A,0)),"introuvable")</f>
        <v>Christophe Germanier</v>
      </c>
      <c r="W662" s="15" t="s">
        <v>7782</v>
      </c>
    </row>
    <row r="663" spans="1:23" x14ac:dyDescent="0.3">
      <c r="A663" s="15" t="s">
        <v>3614</v>
      </c>
      <c r="B663" s="12" t="str">
        <f>IFERROR(INDEX(Mots!$B:$B,MATCH($A663,Mots!$A:$A,0)),"introuvable")</f>
        <v>chuchoter</v>
      </c>
      <c r="N663" s="15" t="s">
        <v>7752</v>
      </c>
    </row>
    <row r="664" spans="1:23" x14ac:dyDescent="0.3">
      <c r="A664" s="15" t="s">
        <v>3621</v>
      </c>
      <c r="B664" s="12" t="str">
        <f>IFERROR(INDEX(Mots!$B:$B,MATCH($A664,Mots!$A:$A,0)),"introuvable")</f>
        <v>Claudine Fumeaux</v>
      </c>
      <c r="W664" s="15" t="s">
        <v>7782</v>
      </c>
    </row>
    <row r="665" spans="1:23" x14ac:dyDescent="0.3">
      <c r="A665" s="15" t="s">
        <v>3625</v>
      </c>
      <c r="B665" s="12" t="str">
        <f>IFERROR(INDEX(Mots!$B:$B,MATCH($A665,Mots!$A:$A,0)),"introuvable")</f>
        <v>collant</v>
      </c>
      <c r="S665" s="15" t="s">
        <v>7359</v>
      </c>
    </row>
    <row r="666" spans="1:23" x14ac:dyDescent="0.3">
      <c r="A666" s="8" t="s">
        <v>9473</v>
      </c>
      <c r="B666" s="12" t="str">
        <f>IFERROR(INDEX(Mots!$B:$B,MATCH($A666,Mots!$A:$A,0)),"introuvable")</f>
        <v>colorée</v>
      </c>
      <c r="S666" s="15" t="s">
        <v>2321</v>
      </c>
      <c r="T666" s="15" t="s">
        <v>7772</v>
      </c>
    </row>
    <row r="667" spans="1:23" x14ac:dyDescent="0.3">
      <c r="A667" s="15" t="s">
        <v>3641</v>
      </c>
      <c r="B667" s="12" t="str">
        <f>IFERROR(INDEX(Mots!$B:$B,MATCH($A667,Mots!$A:$A,0)),"introuvable")</f>
        <v>comparer</v>
      </c>
      <c r="N667" s="15" t="s">
        <v>7757</v>
      </c>
    </row>
    <row r="668" spans="1:23" x14ac:dyDescent="0.3">
      <c r="A668" s="15" t="s">
        <v>3652</v>
      </c>
      <c r="B668" s="12" t="str">
        <f>IFERROR(INDEX(Mots!$B:$B,MATCH($A668,Mots!$A:$A,0)),"introuvable")</f>
        <v>comprendre</v>
      </c>
      <c r="N668" s="15" t="s">
        <v>7027</v>
      </c>
      <c r="O668" s="15" t="s">
        <v>7757</v>
      </c>
    </row>
    <row r="669" spans="1:23" x14ac:dyDescent="0.3">
      <c r="A669" s="15" t="s">
        <v>3658</v>
      </c>
      <c r="B669" s="12" t="str">
        <f>IFERROR(INDEX(Mots!$B:$B,MATCH($A669,Mots!$A:$A,0)),"introuvable")</f>
        <v>compter</v>
      </c>
      <c r="I669" s="15" t="s">
        <v>73</v>
      </c>
      <c r="N669" s="15" t="s">
        <v>7752</v>
      </c>
      <c r="O669" s="15" t="s">
        <v>7027</v>
      </c>
    </row>
    <row r="670" spans="1:23" x14ac:dyDescent="0.3">
      <c r="A670" s="15" t="s">
        <v>3672</v>
      </c>
      <c r="B670" s="12" t="str">
        <f>IFERROR(INDEX(Mots!$B:$B,MATCH($A670,Mots!$A:$A,0)),"introuvable")</f>
        <v>connaître</v>
      </c>
      <c r="N670" s="15" t="s">
        <v>7027</v>
      </c>
    </row>
    <row r="671" spans="1:23" x14ac:dyDescent="0.3">
      <c r="A671" s="15" t="s">
        <v>3676</v>
      </c>
      <c r="B671" s="12" t="str">
        <f>IFERROR(INDEX(Mots!$B:$B,MATCH($A671,Mots!$A:$A,0)),"introuvable")</f>
        <v>conseiller</v>
      </c>
      <c r="N671" s="15" t="s">
        <v>7752</v>
      </c>
    </row>
    <row r="672" spans="1:23" x14ac:dyDescent="0.3">
      <c r="A672" s="15" t="s">
        <v>3692</v>
      </c>
      <c r="B672" s="12" t="str">
        <f>IFERROR(INDEX(Mots!$B:$B,MATCH($A672,Mots!$A:$A,0)),"introuvable")</f>
        <v>coupant</v>
      </c>
      <c r="G672" s="15" t="s">
        <v>7805</v>
      </c>
    </row>
    <row r="673" spans="1:23" x14ac:dyDescent="0.3">
      <c r="A673" s="15" t="s">
        <v>3705</v>
      </c>
      <c r="B673" s="12" t="str">
        <f>IFERROR(INDEX(Mots!$B:$B,MATCH($A673,Mots!$A:$A,0)),"introuvable")</f>
        <v>courir</v>
      </c>
      <c r="I673" s="15" t="s">
        <v>3780</v>
      </c>
      <c r="N673" s="15" t="s">
        <v>7720</v>
      </c>
    </row>
    <row r="674" spans="1:23" x14ac:dyDescent="0.3">
      <c r="A674" s="15" t="s">
        <v>3713</v>
      </c>
      <c r="B674" s="12" t="str">
        <f>IFERROR(INDEX(Mots!$B:$B,MATCH($A674,Mots!$A:$A,0)),"introuvable")</f>
        <v>creux</v>
      </c>
      <c r="S674" s="15" t="s">
        <v>7770</v>
      </c>
    </row>
    <row r="675" spans="1:23" x14ac:dyDescent="0.3">
      <c r="A675" s="15" t="s">
        <v>3720</v>
      </c>
      <c r="B675" s="12" t="str">
        <f>IFERROR(INDEX(Mots!$B:$B,MATCH($A675,Mots!$A:$A,0)),"introuvable")</f>
        <v>crier</v>
      </c>
      <c r="N675" s="15" t="s">
        <v>7752</v>
      </c>
    </row>
    <row r="676" spans="1:23" x14ac:dyDescent="0.3">
      <c r="A676" s="15" t="s">
        <v>3728</v>
      </c>
      <c r="B676" s="12" t="str">
        <f>IFERROR(INDEX(Mots!$B:$B,MATCH($A676,Mots!$A:$A,0)),"introuvable")</f>
        <v>croire</v>
      </c>
      <c r="N676" s="15" t="s">
        <v>7027</v>
      </c>
    </row>
    <row r="677" spans="1:23" x14ac:dyDescent="0.3">
      <c r="A677" s="15" t="s">
        <v>3734</v>
      </c>
      <c r="B677" s="12" t="str">
        <f>IFERROR(INDEX(Mots!$B:$B,MATCH($A677,Mots!$A:$A,0)),"introuvable")</f>
        <v>cuire</v>
      </c>
      <c r="I677" s="15" t="s">
        <v>702</v>
      </c>
      <c r="N677" s="15" t="s">
        <v>7711</v>
      </c>
      <c r="O677" s="15" t="s">
        <v>7713</v>
      </c>
      <c r="P677" s="15" t="s">
        <v>7757</v>
      </c>
    </row>
    <row r="678" spans="1:23" x14ac:dyDescent="0.3">
      <c r="A678" s="15" t="s">
        <v>3742</v>
      </c>
      <c r="B678" s="12" t="str">
        <f>IFERROR(INDEX(Mots!$B:$B,MATCH($A678,Mots!$A:$A,0)),"introuvable")</f>
        <v>d'abord</v>
      </c>
      <c r="G678" s="15" t="s">
        <v>7805</v>
      </c>
    </row>
    <row r="679" spans="1:23" x14ac:dyDescent="0.3">
      <c r="A679" s="15" t="s">
        <v>3749</v>
      </c>
      <c r="B679" s="12" t="str">
        <f>IFERROR(INDEX(Mots!$B:$B,MATCH($A679,Mots!$A:$A,0)),"introuvable")</f>
        <v>Damien Lagger</v>
      </c>
      <c r="W679" s="15" t="s">
        <v>7785</v>
      </c>
    </row>
    <row r="680" spans="1:23" x14ac:dyDescent="0.3">
      <c r="A680" s="15" t="s">
        <v>3753</v>
      </c>
      <c r="B680" s="12" t="str">
        <f>IFERROR(INDEX(Mots!$B:$B,MATCH($A680,Mots!$A:$A,0)),"introuvable")</f>
        <v>dangereux</v>
      </c>
      <c r="S680" s="15" t="s">
        <v>7770</v>
      </c>
    </row>
    <row r="681" spans="1:23" x14ac:dyDescent="0.3">
      <c r="A681" s="15" t="s">
        <v>3759</v>
      </c>
      <c r="B681" s="12" t="str">
        <f>IFERROR(INDEX(Mots!$B:$B,MATCH($A681,Mots!$A:$A,0)),"introuvable")</f>
        <v>danser</v>
      </c>
      <c r="I681" s="15" t="s">
        <v>7709</v>
      </c>
      <c r="N681" s="15" t="s">
        <v>7723</v>
      </c>
    </row>
    <row r="682" spans="1:23" x14ac:dyDescent="0.3">
      <c r="A682" s="15" t="s">
        <v>3767</v>
      </c>
      <c r="B682" s="12" t="str">
        <f>IFERROR(INDEX(Mots!$B:$B,MATCH($A682,Mots!$A:$A,0)),"introuvable")</f>
        <v>décider</v>
      </c>
      <c r="N682" s="15" t="s">
        <v>7027</v>
      </c>
    </row>
    <row r="683" spans="1:23" x14ac:dyDescent="0.3">
      <c r="A683" s="15" t="s">
        <v>3775</v>
      </c>
      <c r="B683" s="12" t="str">
        <f>IFERROR(INDEX(Mots!$B:$B,MATCH($A683,Mots!$A:$A,0)),"introuvable")</f>
        <v>dedans</v>
      </c>
      <c r="G683" s="15" t="s">
        <v>7805</v>
      </c>
    </row>
    <row r="684" spans="1:23" x14ac:dyDescent="0.3">
      <c r="A684" s="15" t="s">
        <v>3780</v>
      </c>
      <c r="B684" s="12" t="str">
        <f>IFERROR(INDEX(Mots!$B:$B,MATCH($A684,Mots!$A:$A,0)),"introuvable")</f>
        <v>dehors</v>
      </c>
      <c r="G684" s="15" t="s">
        <v>7805</v>
      </c>
    </row>
    <row r="685" spans="1:23" x14ac:dyDescent="0.3">
      <c r="A685" s="15" t="s">
        <v>3784</v>
      </c>
      <c r="B685" s="12" t="str">
        <f>IFERROR(INDEX(Mots!$B:$B,MATCH($A685,Mots!$A:$A,0)),"introuvable")</f>
        <v>déjà</v>
      </c>
      <c r="G685" s="15" t="s">
        <v>7799</v>
      </c>
    </row>
    <row r="686" spans="1:23" x14ac:dyDescent="0.3">
      <c r="A686" s="15" t="s">
        <v>3789</v>
      </c>
      <c r="B686" s="12" t="str">
        <f>IFERROR(INDEX(Mots!$B:$B,MATCH($A686,Mots!$A:$A,0)),"introuvable")</f>
        <v>demander</v>
      </c>
      <c r="N686" s="15" t="s">
        <v>7752</v>
      </c>
    </row>
    <row r="687" spans="1:23" x14ac:dyDescent="0.3">
      <c r="A687" s="15" t="s">
        <v>3804</v>
      </c>
      <c r="B687" s="12" t="str">
        <f>IFERROR(INDEX(Mots!$B:$B,MATCH($A687,Mots!$A:$A,0)),"introuvable")</f>
        <v>deviner</v>
      </c>
      <c r="N687" s="15" t="s">
        <v>7027</v>
      </c>
    </row>
    <row r="688" spans="1:23" x14ac:dyDescent="0.3">
      <c r="A688" s="15" t="s">
        <v>3813</v>
      </c>
      <c r="B688" s="12" t="str">
        <f>IFERROR(INDEX(Mots!$B:$B,MATCH($A688,Mots!$A:$A,0)),"introuvable")</f>
        <v>dire</v>
      </c>
      <c r="N688" s="15" t="s">
        <v>7752</v>
      </c>
    </row>
    <row r="689" spans="1:21" x14ac:dyDescent="0.3">
      <c r="A689" s="15" t="s">
        <v>3825</v>
      </c>
      <c r="B689" s="12" t="str">
        <f>IFERROR(INDEX(Mots!$B:$B,MATCH($A689,Mots!$A:$A,0)),"introuvable")</f>
        <v>donner</v>
      </c>
      <c r="N689" s="15" t="s">
        <v>7757</v>
      </c>
    </row>
    <row r="690" spans="1:21" x14ac:dyDescent="0.3">
      <c r="A690" s="15" t="s">
        <v>3831</v>
      </c>
      <c r="B690" s="12" t="str">
        <f>IFERROR(INDEX(Mots!$B:$B,MATCH($A690,Mots!$A:$A,0)),"introuvable")</f>
        <v>dormir</v>
      </c>
      <c r="I690" s="15" t="s">
        <v>3176</v>
      </c>
      <c r="N690" s="15" t="s">
        <v>7727</v>
      </c>
    </row>
    <row r="691" spans="1:21" x14ac:dyDescent="0.3">
      <c r="A691" s="15" t="s">
        <v>3839</v>
      </c>
      <c r="B691" s="12" t="str">
        <f>IFERROR(INDEX(Mots!$B:$B,MATCH($A691,Mots!$A:$A,0)),"introuvable")</f>
        <v>doux - douce</v>
      </c>
      <c r="S691" s="15" t="s">
        <v>7359</v>
      </c>
      <c r="T691" s="15" t="s">
        <v>5843</v>
      </c>
      <c r="U691" s="15" t="s">
        <v>6198</v>
      </c>
    </row>
    <row r="692" spans="1:21" x14ac:dyDescent="0.3">
      <c r="A692" s="15" t="s">
        <v>3846</v>
      </c>
      <c r="B692" s="12" t="str">
        <f>IFERROR(INDEX(Mots!$B:$B,MATCH($A692,Mots!$A:$A,0)),"introuvable")</f>
        <v>doucement</v>
      </c>
      <c r="G692" s="15" t="s">
        <v>7805</v>
      </c>
    </row>
    <row r="693" spans="1:21" x14ac:dyDescent="0.3">
      <c r="A693" s="15" t="s">
        <v>3852</v>
      </c>
      <c r="B693" s="12" t="str">
        <f>IFERROR(INDEX(Mots!$B:$B,MATCH($A693,Mots!$A:$A,0)),"introuvable")</f>
        <v>douter</v>
      </c>
      <c r="N693" s="15" t="s">
        <v>7027</v>
      </c>
    </row>
    <row r="694" spans="1:21" x14ac:dyDescent="0.3">
      <c r="A694" s="15" t="s">
        <v>3857</v>
      </c>
      <c r="B694" s="12" t="str">
        <f>IFERROR(INDEX(Mots!$B:$B,MATCH($A694,Mots!$A:$A,0)),"introuvable")</f>
        <v>écouter</v>
      </c>
      <c r="N694" s="15" t="s">
        <v>7752</v>
      </c>
    </row>
    <row r="695" spans="1:21" x14ac:dyDescent="0.3">
      <c r="A695" s="15" t="s">
        <v>3865</v>
      </c>
      <c r="B695" s="12" t="str">
        <f>IFERROR(INDEX(Mots!$B:$B,MATCH($A695,Mots!$A:$A,0)),"introuvable")</f>
        <v>écrire</v>
      </c>
      <c r="N695" s="15" t="s">
        <v>7752</v>
      </c>
    </row>
    <row r="696" spans="1:21" x14ac:dyDescent="0.3">
      <c r="A696" s="15" t="s">
        <v>3873</v>
      </c>
      <c r="B696" s="12" t="str">
        <f>IFERROR(INDEX(Mots!$B:$B,MATCH($A696,Mots!$A:$A,0)),"introuvable")</f>
        <v>électrique</v>
      </c>
      <c r="S696" s="15" t="s">
        <v>7770</v>
      </c>
    </row>
    <row r="697" spans="1:21" x14ac:dyDescent="0.3">
      <c r="A697" s="15" t="s">
        <v>3881</v>
      </c>
      <c r="B697" s="12" t="str">
        <f>IFERROR(INDEX(Mots!$B:$B,MATCH($A697,Mots!$A:$A,0)),"introuvable")</f>
        <v>élevé</v>
      </c>
      <c r="S697" s="15" t="s">
        <v>7761</v>
      </c>
      <c r="T697" s="15" t="s">
        <v>7776</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7764</v>
      </c>
      <c r="T699" s="15" t="s">
        <v>7770</v>
      </c>
    </row>
    <row r="700" spans="1:21" x14ac:dyDescent="0.3">
      <c r="A700" s="15" t="s">
        <v>3897</v>
      </c>
      <c r="B700" s="12" t="str">
        <f>IFERROR(INDEX(Mots!$B:$B,MATCH($A700,Mots!$A:$A,0)),"introuvable")</f>
        <v>ensemble</v>
      </c>
      <c r="G700" s="15" t="s">
        <v>7805</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7720</v>
      </c>
    </row>
    <row r="703" spans="1:21" x14ac:dyDescent="0.3">
      <c r="A703" s="8" t="s">
        <v>9585</v>
      </c>
      <c r="B703" s="12" t="str">
        <f>IFERROR(INDEX(Mots!$B:$B,MATCH($A703,Mots!$A:$A,0)),"introuvable")</f>
        <v>environ</v>
      </c>
      <c r="G703" s="15" t="s">
        <v>4365</v>
      </c>
    </row>
    <row r="704" spans="1:21" x14ac:dyDescent="0.3">
      <c r="A704" s="15" t="s">
        <v>3924</v>
      </c>
      <c r="B704" s="12" t="str">
        <f>IFERROR(INDEX(Mots!$B:$B,MATCH($A704,Mots!$A:$A,0)),"introuvable")</f>
        <v>essayer</v>
      </c>
      <c r="N704" s="15" t="s">
        <v>7716</v>
      </c>
    </row>
    <row r="705" spans="1:23" x14ac:dyDescent="0.3">
      <c r="A705" s="15" t="s">
        <v>3932</v>
      </c>
      <c r="B705" s="12" t="str">
        <f>IFERROR(INDEX(Mots!$B:$B,MATCH($A705,Mots!$A:$A,0)),"introuvable")</f>
        <v>expliquer</v>
      </c>
      <c r="N705" s="15" t="s">
        <v>7752</v>
      </c>
      <c r="O705" s="15" t="s">
        <v>7027</v>
      </c>
      <c r="P705" s="15" t="s">
        <v>7757</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7776</v>
      </c>
    </row>
    <row r="708" spans="1:23" x14ac:dyDescent="0.3">
      <c r="A708" s="15" t="s">
        <v>3942</v>
      </c>
      <c r="B708" s="12" t="str">
        <f>IFERROR(INDEX(Mots!$B:$B,MATCH($A708,Mots!$A:$A,0)),"introuvable")</f>
        <v>faire</v>
      </c>
      <c r="N708" s="15" t="s">
        <v>7729</v>
      </c>
    </row>
    <row r="709" spans="1:23" x14ac:dyDescent="0.3">
      <c r="A709" s="15" t="s">
        <v>3954</v>
      </c>
      <c r="B709" s="12" t="str">
        <f>IFERROR(INDEX(Mots!$B:$B,MATCH($A709,Mots!$A:$A,0)),"introuvable")</f>
        <v>féliciter</v>
      </c>
      <c r="I709" s="15" t="s">
        <v>73</v>
      </c>
      <c r="N709" s="15" t="s">
        <v>7752</v>
      </c>
      <c r="O709" s="15" t="s">
        <v>7027</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7764</v>
      </c>
    </row>
    <row r="712" spans="1:23" x14ac:dyDescent="0.3">
      <c r="A712" s="15" t="s">
        <v>3982</v>
      </c>
      <c r="B712" s="12" t="str">
        <f>IFERROR(INDEX(Mots!$B:$B,MATCH($A712,Mots!$A:$A,0)),"introuvable")</f>
        <v>frapper</v>
      </c>
      <c r="N712" s="15" t="s">
        <v>7757</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7752</v>
      </c>
    </row>
    <row r="715" spans="1:23" x14ac:dyDescent="0.3">
      <c r="A715" s="15" t="s">
        <v>4002</v>
      </c>
      <c r="B715" s="12" t="str">
        <f>IFERROR(INDEX(Mots!$B:$B,MATCH($A715,Mots!$A:$A,0)),"introuvable")</f>
        <v>gentiment</v>
      </c>
      <c r="G715" s="15" t="s">
        <v>7805</v>
      </c>
    </row>
    <row r="716" spans="1:23" x14ac:dyDescent="0.3">
      <c r="A716" s="15" t="s">
        <v>4004</v>
      </c>
      <c r="B716" s="12" t="str">
        <f>IFERROR(INDEX(Mots!$B:$B,MATCH($A716,Mots!$A:$A,0)),"introuvable")</f>
        <v>goûter</v>
      </c>
      <c r="I716" s="15" t="s">
        <v>702</v>
      </c>
      <c r="N716" s="15" t="s">
        <v>7711</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6198</v>
      </c>
    </row>
    <row r="719" spans="1:23" x14ac:dyDescent="0.3">
      <c r="A719" s="15" t="s">
        <v>9614</v>
      </c>
      <c r="B719" s="12" t="str">
        <f>IFERROR(INDEX(Mots!$B:$B,MATCH($A719,Mots!$A:$A,0)),"introuvable")</f>
        <v>heureux</v>
      </c>
      <c r="S719" s="15" t="s">
        <v>7779</v>
      </c>
    </row>
    <row r="720" spans="1:23" x14ac:dyDescent="0.3">
      <c r="A720" s="15" t="s">
        <v>4033</v>
      </c>
      <c r="B720" s="12" t="str">
        <f>IFERROR(INDEX(Mots!$B:$B,MATCH($A720,Mots!$A:$A,0)),"introuvable")</f>
        <v>ici</v>
      </c>
      <c r="G720" s="15" t="s">
        <v>7805</v>
      </c>
    </row>
    <row r="721" spans="1:20" x14ac:dyDescent="0.3">
      <c r="A721" s="15" t="s">
        <v>4039</v>
      </c>
      <c r="B721" s="12" t="str">
        <f>IFERROR(INDEX(Mots!$B:$B,MATCH($A721,Mots!$A:$A,0)),"introuvable")</f>
        <v>imaginer</v>
      </c>
      <c r="I721" s="15" t="s">
        <v>3780</v>
      </c>
      <c r="N721" s="15" t="s">
        <v>7027</v>
      </c>
    </row>
    <row r="722" spans="1:20" x14ac:dyDescent="0.3">
      <c r="A722" s="15" t="s">
        <v>4044</v>
      </c>
      <c r="B722" s="12" t="str">
        <f>IFERROR(INDEX(Mots!$B:$B,MATCH($A722,Mots!$A:$A,0)),"introuvable")</f>
        <v>important</v>
      </c>
      <c r="S722" s="15" t="s">
        <v>7772</v>
      </c>
    </row>
    <row r="723" spans="1:20" x14ac:dyDescent="0.3">
      <c r="A723" s="15" t="s">
        <v>4049</v>
      </c>
      <c r="B723" s="12" t="str">
        <f>IFERROR(INDEX(Mots!$B:$B,MATCH($A723,Mots!$A:$A,0)),"introuvable")</f>
        <v>intérieur</v>
      </c>
      <c r="S723" s="15" t="s">
        <v>7776</v>
      </c>
    </row>
    <row r="724" spans="1:20" x14ac:dyDescent="0.3">
      <c r="A724" s="15" t="s">
        <v>9535</v>
      </c>
      <c r="B724" s="12" t="str">
        <f>IFERROR(INDEX(Mots!$B:$B,MATCH($A724,Mots!$A:$A,0)),"introuvable")</f>
        <v>joyeux</v>
      </c>
      <c r="S724" s="15" t="s">
        <v>7770</v>
      </c>
      <c r="T724" s="15" t="s">
        <v>7779</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6831</v>
      </c>
      <c r="G726" s="15" t="s">
        <v>7802</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5057</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6831</v>
      </c>
      <c r="I736" s="15" t="s">
        <v>702</v>
      </c>
      <c r="J736" s="15" t="s">
        <v>34</v>
      </c>
      <c r="N736" s="15" t="s">
        <v>7752</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6831</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7740</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7799</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4645</v>
      </c>
      <c r="I745" s="15" t="s">
        <v>3176</v>
      </c>
      <c r="N745" s="15" t="s">
        <v>7716</v>
      </c>
    </row>
    <row r="746" spans="1:17" x14ac:dyDescent="0.3">
      <c r="A746" s="15" t="s">
        <v>4334</v>
      </c>
      <c r="B746" s="12" t="str">
        <f>IFERROR(INDEX(Mots!$B:$B,MATCH($A746,Mots!$A:$A,0)),"introuvable")</f>
        <v>la curiosité</v>
      </c>
      <c r="N746" s="15" t="s">
        <v>7027</v>
      </c>
    </row>
    <row r="747" spans="1:17" x14ac:dyDescent="0.3">
      <c r="A747" s="15" t="s">
        <v>4342</v>
      </c>
      <c r="B747" s="12" t="str">
        <f>IFERROR(INDEX(Mots!$B:$B,MATCH($A747,Mots!$A:$A,0)),"introuvable")</f>
        <v>dépenser</v>
      </c>
      <c r="I747" s="15" t="s">
        <v>702</v>
      </c>
      <c r="J747" s="15" t="s">
        <v>73</v>
      </c>
      <c r="N747" s="15" t="s">
        <v>7711</v>
      </c>
      <c r="O747" s="15" t="s">
        <v>7375</v>
      </c>
      <c r="P747" s="15" t="s">
        <v>7027</v>
      </c>
      <c r="Q747" s="15" t="s">
        <v>7757</v>
      </c>
    </row>
    <row r="748" spans="1:17" x14ac:dyDescent="0.3">
      <c r="A748" s="15" t="s">
        <v>4347</v>
      </c>
      <c r="B748" s="12" t="str">
        <f>IFERROR(INDEX(Mots!$B:$B,MATCH($A748,Mots!$A:$A,0)),"introuvable")</f>
        <v>se détendre</v>
      </c>
      <c r="N748" s="15" t="s">
        <v>7727</v>
      </c>
    </row>
    <row r="749" spans="1:17" x14ac:dyDescent="0.3">
      <c r="A749" s="15" t="s">
        <v>4357</v>
      </c>
      <c r="B749" s="12" t="str">
        <f>IFERROR(INDEX(Mots!$B:$B,MATCH($A749,Mots!$A:$A,0)),"introuvable")</f>
        <v>la dispute</v>
      </c>
      <c r="G749" s="15" t="s">
        <v>7799</v>
      </c>
    </row>
    <row r="750" spans="1:17" x14ac:dyDescent="0.3">
      <c r="A750" s="15" t="s">
        <v>4369</v>
      </c>
      <c r="B750" s="12" t="str">
        <f>IFERROR(INDEX(Mots!$B:$B,MATCH($A750,Mots!$A:$A,0)),"introuvable")</f>
        <v>la douleur</v>
      </c>
      <c r="I750" s="15" t="s">
        <v>5057</v>
      </c>
      <c r="N750" s="15" t="s">
        <v>7718</v>
      </c>
    </row>
    <row r="751" spans="1:17" x14ac:dyDescent="0.3">
      <c r="A751" s="15" t="s">
        <v>4373</v>
      </c>
      <c r="B751" s="12" t="str">
        <f>IFERROR(INDEX(Mots!$B:$B,MATCH($A751,Mots!$A:$A,0)),"introuvable")</f>
        <v>la face</v>
      </c>
      <c r="C751" s="15" t="s">
        <v>6831</v>
      </c>
    </row>
    <row r="752" spans="1:17" x14ac:dyDescent="0.3">
      <c r="A752" s="15" t="s">
        <v>4379</v>
      </c>
      <c r="B752" s="12" t="str">
        <f>IFERROR(INDEX(Mots!$B:$B,MATCH($A752,Mots!$A:$A,0)),"introuvable")</f>
        <v>la facture</v>
      </c>
      <c r="I752" s="15" t="s">
        <v>73</v>
      </c>
      <c r="N752" s="15" t="s">
        <v>7375</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7799</v>
      </c>
    </row>
    <row r="757" spans="1:14" x14ac:dyDescent="0.3">
      <c r="A757" s="15" t="s">
        <v>9400</v>
      </c>
      <c r="B757" s="12" t="str">
        <f>IFERROR(INDEX(Mots!$B:$B,MATCH($A757,Mots!$A:$A,0)),"introuvable")</f>
        <v>la feuille d'une plante</v>
      </c>
      <c r="C757" s="15" t="s">
        <v>2811</v>
      </c>
      <c r="D757" t="s">
        <v>7740</v>
      </c>
      <c r="I757" s="15" t="s">
        <v>3780</v>
      </c>
    </row>
    <row r="758" spans="1:14" x14ac:dyDescent="0.3">
      <c r="A758" s="15" t="s">
        <v>4416</v>
      </c>
      <c r="B758" s="12" t="str">
        <f>IFERROR(INDEX(Mots!$B:$B,MATCH($A758,Mots!$A:$A,0)),"introuvable")</f>
        <v>la fièvre</v>
      </c>
      <c r="I758" s="15" t="s">
        <v>5057</v>
      </c>
      <c r="N758" s="15" t="s">
        <v>7716</v>
      </c>
    </row>
    <row r="759" spans="1:14" x14ac:dyDescent="0.3">
      <c r="A759" s="15" t="s">
        <v>4428</v>
      </c>
      <c r="B759" s="12" t="str">
        <f>IFERROR(INDEX(Mots!$B:$B,MATCH($A759,Mots!$A:$A,0)),"introuvable")</f>
        <v>la fois</v>
      </c>
      <c r="N759" s="15" t="s">
        <v>7752</v>
      </c>
    </row>
    <row r="760" spans="1:14" x14ac:dyDescent="0.3">
      <c r="A760" s="15" t="s">
        <v>4450</v>
      </c>
      <c r="B760" s="12" t="str">
        <f>IFERROR(INDEX(Mots!$B:$B,MATCH($A760,Mots!$A:$A,0)),"introuvable")</f>
        <v>la foule</v>
      </c>
      <c r="G760" s="15" t="s">
        <v>6023</v>
      </c>
    </row>
    <row r="761" spans="1:14" x14ac:dyDescent="0.3">
      <c r="A761" s="15" t="s">
        <v>4454</v>
      </c>
      <c r="B761" s="12" t="str">
        <f>IFERROR(INDEX(Mots!$B:$B,MATCH($A761,Mots!$A:$A,0)),"introuvable")</f>
        <v>la friandise</v>
      </c>
      <c r="I761" s="15" t="s">
        <v>702</v>
      </c>
      <c r="N761" s="15" t="s">
        <v>7752</v>
      </c>
    </row>
    <row r="762" spans="1:14" x14ac:dyDescent="0.3">
      <c r="A762" s="15" t="s">
        <v>4465</v>
      </c>
      <c r="B762" s="12" t="str">
        <f>IFERROR(INDEX(Mots!$B:$B,MATCH($A762,Mots!$A:$A,0)),"introuvable")</f>
        <v>la garantie</v>
      </c>
      <c r="I762" s="15" t="s">
        <v>3780</v>
      </c>
      <c r="N762" s="15" t="s">
        <v>7729</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7740</v>
      </c>
      <c r="N764" s="15" t="s">
        <v>7711</v>
      </c>
    </row>
    <row r="765" spans="1:14" x14ac:dyDescent="0.3">
      <c r="A765" s="15" t="s">
        <v>4493</v>
      </c>
      <c r="B765" s="12" t="str">
        <f>IFERROR(INDEX(Mots!$B:$B,MATCH($A765,Mots!$A:$A,0)),"introuvable")</f>
        <v>la goutte</v>
      </c>
      <c r="N765" s="15" t="s">
        <v>7711</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4645</v>
      </c>
    </row>
    <row r="768" spans="1:14" x14ac:dyDescent="0.3">
      <c r="A768" s="15" t="s">
        <v>4507</v>
      </c>
      <c r="B768" s="12" t="str">
        <f>IFERROR(INDEX(Mots!$B:$B,MATCH($A768,Mots!$A:$A,0)),"introuvable")</f>
        <v>la grille</v>
      </c>
      <c r="C768" s="15" t="s">
        <v>6831</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7799</v>
      </c>
    </row>
    <row r="771" spans="1:26" x14ac:dyDescent="0.3">
      <c r="A771" s="15" t="s">
        <v>4535</v>
      </c>
      <c r="B771" s="12" t="str">
        <f>IFERROR(INDEX(Mots!$B:$B,MATCH($A771,Mots!$A:$A,0)),"introuvable")</f>
        <v>la honte</v>
      </c>
      <c r="Z771" s="15" t="s">
        <v>7790</v>
      </c>
    </row>
    <row r="772" spans="1:26" x14ac:dyDescent="0.3">
      <c r="A772" s="15" t="s">
        <v>4543</v>
      </c>
      <c r="B772" s="12" t="str">
        <f>IFERROR(INDEX(Mots!$B:$B,MATCH($A772,Mots!$A:$A,0)),"introuvable")</f>
        <v>la jalousie</v>
      </c>
      <c r="Z772" s="15" t="s">
        <v>7790</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7711</v>
      </c>
    </row>
    <row r="775" spans="1:26" x14ac:dyDescent="0.3">
      <c r="A775" s="15" t="s">
        <v>4596</v>
      </c>
      <c r="B775" s="12" t="str">
        <f>IFERROR(INDEX(Mots!$B:$B,MATCH($A775,Mots!$A:$A,0)),"introuvable")</f>
        <v>la loupe</v>
      </c>
      <c r="I775" s="15" t="s">
        <v>702</v>
      </c>
    </row>
    <row r="776" spans="1:26" x14ac:dyDescent="0.3">
      <c r="A776" s="15" t="s">
        <v>4616</v>
      </c>
      <c r="B776" s="12" t="str">
        <f>IFERROR(INDEX(Mots!$B:$B,MATCH($A776,Mots!$A:$A,0)),"introuvable")</f>
        <v>la machine</v>
      </c>
      <c r="C776" s="15" t="s">
        <v>5288</v>
      </c>
      <c r="I776" s="15" t="s">
        <v>3780</v>
      </c>
      <c r="J776" s="15" t="s">
        <v>73</v>
      </c>
    </row>
    <row r="777" spans="1:26" x14ac:dyDescent="0.3">
      <c r="A777" s="15" t="s">
        <v>4622</v>
      </c>
      <c r="B777" s="12" t="str">
        <f>IFERROR(INDEX(Mots!$B:$B,MATCH($A777,Mots!$A:$A,0)),"introuvable")</f>
        <v>la maladie</v>
      </c>
      <c r="I777" s="15" t="s">
        <v>5057</v>
      </c>
      <c r="N777" s="15" t="s">
        <v>7718</v>
      </c>
    </row>
    <row r="778" spans="1:26" x14ac:dyDescent="0.3">
      <c r="A778" s="15" t="s">
        <v>4626</v>
      </c>
      <c r="B778" s="12" t="str">
        <f>IFERROR(INDEX(Mots!$B:$B,MATCH($A778,Mots!$A:$A,0)),"introuvable")</f>
        <v>la manche</v>
      </c>
      <c r="C778" s="15" t="s">
        <v>6572</v>
      </c>
      <c r="N778" s="15" t="s">
        <v>7716</v>
      </c>
    </row>
    <row r="779" spans="1:26" x14ac:dyDescent="0.3">
      <c r="A779" s="15" t="s">
        <v>4641</v>
      </c>
      <c r="B779" s="12" t="str">
        <f>IFERROR(INDEX(Mots!$B:$B,MATCH($A779,Mots!$A:$A,0)),"introuvable")</f>
        <v>la masse</v>
      </c>
      <c r="C779" s="15" t="s">
        <v>4645</v>
      </c>
    </row>
    <row r="780" spans="1:26" x14ac:dyDescent="0.3">
      <c r="A780" s="15" t="s">
        <v>4645</v>
      </c>
      <c r="B780" s="12" t="str">
        <f>IFERROR(INDEX(Mots!$B:$B,MATCH($A780,Mots!$A:$A,0)),"introuvable")</f>
        <v>la matière</v>
      </c>
      <c r="C780" s="15" t="s">
        <v>4645</v>
      </c>
      <c r="N780" s="15" t="s">
        <v>7716</v>
      </c>
    </row>
    <row r="781" spans="1:26" x14ac:dyDescent="0.3">
      <c r="A781" s="15" t="s">
        <v>4653</v>
      </c>
      <c r="B781" s="12" t="str">
        <f>IFERROR(INDEX(Mots!$B:$B,MATCH($A781,Mots!$A:$A,0)),"introuvable")</f>
        <v>la mémoire</v>
      </c>
      <c r="N781" s="15" t="s">
        <v>7027</v>
      </c>
    </row>
    <row r="782" spans="1:26" x14ac:dyDescent="0.3">
      <c r="A782" s="15" t="s">
        <v>4657</v>
      </c>
      <c r="B782" s="12" t="str">
        <f>IFERROR(INDEX(Mots!$B:$B,MATCH($A782,Mots!$A:$A,0)),"introuvable")</f>
        <v>la météo</v>
      </c>
      <c r="I782" s="15" t="s">
        <v>3780</v>
      </c>
    </row>
    <row r="783" spans="1:26" x14ac:dyDescent="0.3">
      <c r="A783" s="15" t="s">
        <v>4670</v>
      </c>
      <c r="B783" s="12" t="str">
        <f>IFERROR(INDEX(Mots!$B:$B,MATCH($A783,Mots!$A:$A,0)),"introuvable")</f>
        <v>la montre</v>
      </c>
      <c r="C783" s="15" t="s">
        <v>6831</v>
      </c>
      <c r="G783" s="15" t="s">
        <v>7799</v>
      </c>
      <c r="I783" s="15" t="s">
        <v>34</v>
      </c>
    </row>
    <row r="784" spans="1:26" x14ac:dyDescent="0.3">
      <c r="A784" s="15" t="s">
        <v>4678</v>
      </c>
      <c r="B784" s="12" t="str">
        <f>IFERROR(INDEX(Mots!$B:$B,MATCH($A784,Mots!$A:$A,0)),"introuvable")</f>
        <v>la mousse</v>
      </c>
      <c r="C784" s="15" t="s">
        <v>2811</v>
      </c>
      <c r="I784" s="15" t="s">
        <v>3780</v>
      </c>
    </row>
    <row r="785" spans="1:26" x14ac:dyDescent="0.3">
      <c r="A785" s="15" t="s">
        <v>4686</v>
      </c>
      <c r="B785" s="12" t="str">
        <f>IFERROR(INDEX(Mots!$B:$B,MATCH($A785,Mots!$A:$A,0)),"introuvable")</f>
        <v>la naissance</v>
      </c>
      <c r="G785" s="15" t="s">
        <v>7799</v>
      </c>
    </row>
    <row r="786" spans="1:26" x14ac:dyDescent="0.3">
      <c r="A786" s="15" t="s">
        <v>69</v>
      </c>
      <c r="B786" s="12" t="str">
        <f>IFERROR(INDEX(Mots!$B:$B,MATCH($A786,Mots!$A:$A,0)),"introuvable")</f>
        <v>la nature</v>
      </c>
      <c r="C786" s="15" t="s">
        <v>2811</v>
      </c>
      <c r="I786" s="15" t="s">
        <v>3780</v>
      </c>
    </row>
    <row r="787" spans="1:26" x14ac:dyDescent="0.3">
      <c r="A787" s="15" t="s">
        <v>4693</v>
      </c>
      <c r="B787" s="12" t="str">
        <f>IFERROR(INDEX(Mots!$B:$B,MATCH($A787,Mots!$A:$A,0)),"introuvable")</f>
        <v>la neige</v>
      </c>
      <c r="I787" s="15" t="s">
        <v>3780</v>
      </c>
    </row>
    <row r="788" spans="1:26" x14ac:dyDescent="0.3">
      <c r="A788" s="15" t="s">
        <v>4719</v>
      </c>
      <c r="B788" s="12" t="str">
        <f>IFERROR(INDEX(Mots!$B:$B,MATCH($A788,Mots!$A:$A,0)),"introuvable")</f>
        <v>la panne</v>
      </c>
      <c r="G788" s="15" t="s">
        <v>7799</v>
      </c>
    </row>
    <row r="789" spans="1:26" x14ac:dyDescent="0.3">
      <c r="A789" s="15" t="s">
        <v>4727</v>
      </c>
      <c r="B789" s="12" t="str">
        <f>IFERROR(INDEX(Mots!$B:$B,MATCH($A789,Mots!$A:$A,0)),"introuvable")</f>
        <v>la paroi</v>
      </c>
      <c r="I789" s="15" t="s">
        <v>34</v>
      </c>
    </row>
    <row r="790" spans="1:26" x14ac:dyDescent="0.3">
      <c r="A790" s="15" t="s">
        <v>4745</v>
      </c>
      <c r="B790" s="12" t="str">
        <f>IFERROR(INDEX(Mots!$B:$B,MATCH($A790,Mots!$A:$A,0)),"introuvable")</f>
        <v>la patte</v>
      </c>
      <c r="C790" s="15" t="s">
        <v>1169</v>
      </c>
      <c r="I790" s="15" t="s">
        <v>3780</v>
      </c>
    </row>
    <row r="791" spans="1:26" x14ac:dyDescent="0.3">
      <c r="A791" s="15" t="s">
        <v>4751</v>
      </c>
      <c r="B791" s="12" t="str">
        <f>IFERROR(INDEX(Mots!$B:$B,MATCH($A791,Mots!$A:$A,0)),"introuvable")</f>
        <v>la peine</v>
      </c>
      <c r="Z791" s="15" t="s">
        <v>7790</v>
      </c>
    </row>
    <row r="792" spans="1:26" x14ac:dyDescent="0.3">
      <c r="A792" s="15" t="s">
        <v>4757</v>
      </c>
      <c r="B792" s="12" t="str">
        <f>IFERROR(INDEX(Mots!$B:$B,MATCH($A792,Mots!$A:$A,0)),"introuvable")</f>
        <v>la peinture</v>
      </c>
      <c r="C792" s="15" t="s">
        <v>6831</v>
      </c>
      <c r="I792" s="15" t="s">
        <v>34</v>
      </c>
    </row>
    <row r="793" spans="1:26" x14ac:dyDescent="0.3">
      <c r="A793" s="15" t="s">
        <v>458</v>
      </c>
      <c r="B793" s="12" t="str">
        <f>IFERROR(INDEX(Mots!$B:$B,MATCH($A793,Mots!$A:$A,0)),"introuvable")</f>
        <v>la personne</v>
      </c>
      <c r="I793" s="15" t="s">
        <v>34</v>
      </c>
    </row>
    <row r="794" spans="1:26" x14ac:dyDescent="0.3">
      <c r="A794" s="15" t="s">
        <v>4784</v>
      </c>
      <c r="B794" s="12" t="str">
        <f>IFERROR(INDEX(Mots!$B:$B,MATCH($A794,Mots!$A:$A,0)),"introuvable")</f>
        <v>la pharmacie</v>
      </c>
      <c r="I794" s="15" t="s">
        <v>82</v>
      </c>
      <c r="J794" s="15" t="s">
        <v>5057</v>
      </c>
    </row>
    <row r="795" spans="1:26" x14ac:dyDescent="0.3">
      <c r="A795" s="15" t="s">
        <v>4792</v>
      </c>
      <c r="B795" s="12" t="str">
        <f>IFERROR(INDEX(Mots!$B:$B,MATCH($A795,Mots!$A:$A,0)),"introuvable")</f>
        <v>la photo</v>
      </c>
      <c r="C795" s="15" t="s">
        <v>5288</v>
      </c>
    </row>
    <row r="796" spans="1:26" x14ac:dyDescent="0.3">
      <c r="A796" s="15" t="s">
        <v>4808</v>
      </c>
      <c r="B796" s="12" t="str">
        <f>IFERROR(INDEX(Mots!$B:$B,MATCH($A796,Mots!$A:$A,0)),"introuvable")</f>
        <v>la pince</v>
      </c>
      <c r="C796" s="15" t="s">
        <v>6884</v>
      </c>
      <c r="N796" s="15" t="s">
        <v>7729</v>
      </c>
    </row>
    <row r="797" spans="1:26" x14ac:dyDescent="0.3">
      <c r="A797" s="15" t="s">
        <v>4816</v>
      </c>
      <c r="B797" s="12" t="str">
        <f>IFERROR(INDEX(Mots!$B:$B,MATCH($A797,Mots!$A:$A,0)),"introuvable")</f>
        <v>la piqûre</v>
      </c>
      <c r="C797" s="15" t="s">
        <v>1169</v>
      </c>
      <c r="I797" s="15" t="s">
        <v>3780</v>
      </c>
    </row>
    <row r="798" spans="1:26" x14ac:dyDescent="0.3">
      <c r="A798" s="15" t="s">
        <v>4837</v>
      </c>
      <c r="B798" s="12" t="str">
        <f>IFERROR(INDEX(Mots!$B:$B,MATCH($A798,Mots!$A:$A,0)),"introuvable")</f>
        <v>la place</v>
      </c>
      <c r="I798" s="15" t="s">
        <v>3780</v>
      </c>
      <c r="J798" s="15" t="s">
        <v>82</v>
      </c>
    </row>
    <row r="799" spans="1:26" x14ac:dyDescent="0.3">
      <c r="A799" s="15" t="s">
        <v>4849</v>
      </c>
      <c r="B799" s="12" t="str">
        <f>IFERROR(INDEX(Mots!$B:$B,MATCH($A799,Mots!$A:$A,0)),"introuvable")</f>
        <v>la planète</v>
      </c>
      <c r="I799" s="15" t="s">
        <v>3780</v>
      </c>
    </row>
    <row r="800" spans="1:26" x14ac:dyDescent="0.3">
      <c r="A800" s="15" t="s">
        <v>4857</v>
      </c>
      <c r="B800" s="12" t="str">
        <f>IFERROR(INDEX(Mots!$B:$B,MATCH($A800,Mots!$A:$A,0)),"introuvable")</f>
        <v>la pluie</v>
      </c>
      <c r="I800" s="15" t="s">
        <v>3780</v>
      </c>
    </row>
    <row r="801" spans="1:15" x14ac:dyDescent="0.3">
      <c r="A801" s="15" t="s">
        <v>4865</v>
      </c>
      <c r="B801" s="12" t="str">
        <f>IFERROR(INDEX(Mots!$B:$B,MATCH($A801,Mots!$A:$A,0)),"introuvable")</f>
        <v>la plume</v>
      </c>
      <c r="C801" s="15" t="s">
        <v>1169</v>
      </c>
      <c r="I801" s="15" t="s">
        <v>3780</v>
      </c>
    </row>
    <row r="802" spans="1:15" x14ac:dyDescent="0.3">
      <c r="A802" s="15" t="s">
        <v>4873</v>
      </c>
      <c r="B802" s="12" t="str">
        <f>IFERROR(INDEX(Mots!$B:$B,MATCH($A802,Mots!$A:$A,0)),"introuvable")</f>
        <v>la poche</v>
      </c>
      <c r="C802" s="15" t="s">
        <v>828</v>
      </c>
      <c r="N802" s="15" t="s">
        <v>7716</v>
      </c>
    </row>
    <row r="803" spans="1:15" x14ac:dyDescent="0.3">
      <c r="A803" s="15" t="s">
        <v>4880</v>
      </c>
      <c r="B803" s="12" t="str">
        <f>IFERROR(INDEX(Mots!$B:$B,MATCH($A803,Mots!$A:$A,0)),"introuvable")</f>
        <v>la pommade</v>
      </c>
      <c r="I803" s="15" t="s">
        <v>5057</v>
      </c>
      <c r="N803" s="15" t="s">
        <v>7718</v>
      </c>
    </row>
    <row r="804" spans="1:15" x14ac:dyDescent="0.3">
      <c r="A804" s="15" t="s">
        <v>4894</v>
      </c>
      <c r="B804" s="12" t="str">
        <f>IFERROR(INDEX(Mots!$B:$B,MATCH($A804,Mots!$A:$A,0)),"introuvable")</f>
        <v>la poste</v>
      </c>
      <c r="I804" s="15" t="s">
        <v>82</v>
      </c>
    </row>
    <row r="805" spans="1:15" x14ac:dyDescent="0.3">
      <c r="A805" s="15" t="s">
        <v>4901</v>
      </c>
      <c r="B805" s="12" t="str">
        <f>IFERROR(INDEX(Mots!$B:$B,MATCH($A805,Mots!$A:$A,0)),"introuvable")</f>
        <v>la poubelle</v>
      </c>
      <c r="C805" s="15" t="s">
        <v>6216</v>
      </c>
      <c r="I805" s="15" t="s">
        <v>702</v>
      </c>
    </row>
    <row r="806" spans="1:15" x14ac:dyDescent="0.3">
      <c r="A806" s="15" t="s">
        <v>4909</v>
      </c>
      <c r="B806" s="12" t="str">
        <f>IFERROR(INDEX(Mots!$B:$B,MATCH($A806,Mots!$A:$A,0)),"introuvable")</f>
        <v>la poudre</v>
      </c>
      <c r="C806" s="15" t="s">
        <v>4645</v>
      </c>
      <c r="I806" s="15" t="s">
        <v>702</v>
      </c>
    </row>
    <row r="807" spans="1:15" x14ac:dyDescent="0.3">
      <c r="A807" s="15" t="s">
        <v>4913</v>
      </c>
      <c r="B807" s="12" t="str">
        <f>IFERROR(INDEX(Mots!$B:$B,MATCH($A807,Mots!$A:$A,0)),"introuvable")</f>
        <v>la poussière</v>
      </c>
      <c r="I807" s="15" t="s">
        <v>34</v>
      </c>
      <c r="N807" s="15" t="s">
        <v>6959</v>
      </c>
    </row>
    <row r="808" spans="1:15" x14ac:dyDescent="0.3">
      <c r="A808" s="15" t="s">
        <v>4921</v>
      </c>
      <c r="B808" s="12" t="str">
        <f>IFERROR(INDEX(Mots!$B:$B,MATCH($A808,Mots!$A:$A,0)),"introuvable")</f>
        <v>la prairie</v>
      </c>
      <c r="I808" s="15" t="s">
        <v>3780</v>
      </c>
    </row>
    <row r="809" spans="1:15" x14ac:dyDescent="0.3">
      <c r="A809" s="15" t="s">
        <v>4936</v>
      </c>
      <c r="B809" s="12" t="str">
        <f>IFERROR(INDEX(Mots!$B:$B,MATCH($A809,Mots!$A:$A,0)),"introuvable")</f>
        <v>la promenade</v>
      </c>
      <c r="I809" s="15" t="s">
        <v>82</v>
      </c>
      <c r="N809" s="15" t="s">
        <v>7720</v>
      </c>
      <c r="O809" s="15" t="s">
        <v>7725</v>
      </c>
    </row>
    <row r="810" spans="1:15" x14ac:dyDescent="0.3">
      <c r="A810" s="15" t="s">
        <v>4956</v>
      </c>
      <c r="B810" s="12" t="str">
        <f>IFERROR(INDEX(Mots!$B:$B,MATCH($A810,Mots!$A:$A,0)),"introuvable")</f>
        <v>la quantité</v>
      </c>
      <c r="G810" s="15" t="s">
        <v>6023</v>
      </c>
    </row>
    <row r="811" spans="1:15" x14ac:dyDescent="0.3">
      <c r="A811" s="15" t="s">
        <v>4960</v>
      </c>
      <c r="B811" s="12" t="str">
        <f>IFERROR(INDEX(Mots!$B:$B,MATCH($A811,Mots!$A:$A,0)),"introuvable")</f>
        <v>la question</v>
      </c>
      <c r="N811" s="15" t="s">
        <v>7752</v>
      </c>
    </row>
    <row r="812" spans="1:15" x14ac:dyDescent="0.3">
      <c r="A812" s="15" t="s">
        <v>4972</v>
      </c>
      <c r="B812" s="12" t="str">
        <f>IFERROR(INDEX(Mots!$B:$B,MATCH($A812,Mots!$A:$A,0)),"introuvable")</f>
        <v>la racine</v>
      </c>
      <c r="C812" s="15" t="s">
        <v>2811</v>
      </c>
      <c r="E812" s="15" t="s">
        <v>2811</v>
      </c>
      <c r="I812" s="15" t="s">
        <v>3780</v>
      </c>
    </row>
    <row r="813" spans="1:15" x14ac:dyDescent="0.3">
      <c r="A813" s="15" t="s">
        <v>4980</v>
      </c>
      <c r="B813" s="12" t="str">
        <f>IFERROR(INDEX(Mots!$B:$B,MATCH($A813,Mots!$A:$A,0)),"introuvable")</f>
        <v>la randonnée</v>
      </c>
      <c r="I813" s="15" t="s">
        <v>3780</v>
      </c>
      <c r="N813" s="15" t="s">
        <v>7725</v>
      </c>
    </row>
    <row r="814" spans="1:15" x14ac:dyDescent="0.3">
      <c r="A814" s="15" t="s">
        <v>5000</v>
      </c>
      <c r="B814" s="12" t="str">
        <f>IFERROR(INDEX(Mots!$B:$B,MATCH($A814,Mots!$A:$A,0)),"introuvable")</f>
        <v>la récolte</v>
      </c>
      <c r="C814" s="15" t="s">
        <v>2811</v>
      </c>
      <c r="I814" s="15" t="s">
        <v>3780</v>
      </c>
    </row>
    <row r="815" spans="1:15" x14ac:dyDescent="0.3">
      <c r="A815" s="15" t="s">
        <v>5012</v>
      </c>
      <c r="B815" s="12" t="str">
        <f>IFERROR(INDEX(Mots!$B:$B,MATCH($A815,Mots!$A:$A,0)),"introuvable")</f>
        <v>la rencontre</v>
      </c>
      <c r="G815" s="15" t="s">
        <v>7799</v>
      </c>
    </row>
    <row r="816" spans="1:15" x14ac:dyDescent="0.3">
      <c r="A816" s="15" t="s">
        <v>5024</v>
      </c>
      <c r="B816" s="12" t="str">
        <f>IFERROR(INDEX(Mots!$B:$B,MATCH($A816,Mots!$A:$A,0)),"introuvable")</f>
        <v>la robe</v>
      </c>
      <c r="C816" s="15" t="s">
        <v>6572</v>
      </c>
      <c r="N816" s="15" t="s">
        <v>7716</v>
      </c>
    </row>
    <row r="817" spans="1:15" x14ac:dyDescent="0.3">
      <c r="A817" s="15" t="s">
        <v>5028</v>
      </c>
      <c r="B817" s="12" t="str">
        <f>IFERROR(INDEX(Mots!$B:$B,MATCH($A817,Mots!$A:$A,0)),"introuvable")</f>
        <v>la roche</v>
      </c>
      <c r="C817" s="15" t="s">
        <v>4645</v>
      </c>
      <c r="I817" s="15" t="s">
        <v>3780</v>
      </c>
    </row>
    <row r="818" spans="1:15" x14ac:dyDescent="0.3">
      <c r="A818" s="15" t="s">
        <v>5036</v>
      </c>
      <c r="B818" s="12" t="str">
        <f>IFERROR(INDEX(Mots!$B:$B,MATCH($A818,Mots!$A:$A,0)),"introuvable")</f>
        <v>la rosée</v>
      </c>
      <c r="I818" s="15" t="s">
        <v>3780</v>
      </c>
      <c r="N818" s="15" t="s">
        <v>7711</v>
      </c>
    </row>
    <row r="819" spans="1:15" x14ac:dyDescent="0.3">
      <c r="A819" s="15" t="s">
        <v>5041</v>
      </c>
      <c r="B819" s="12" t="str">
        <f>IFERROR(INDEX(Mots!$B:$B,MATCH($A819,Mots!$A:$A,0)),"introuvable")</f>
        <v>la roue</v>
      </c>
      <c r="C819" s="15" t="s">
        <v>7733</v>
      </c>
      <c r="I819" s="15" t="s">
        <v>34</v>
      </c>
      <c r="J819" s="15" t="s">
        <v>2846</v>
      </c>
      <c r="N819" s="15" t="s">
        <v>7720</v>
      </c>
    </row>
    <row r="820" spans="1:15" x14ac:dyDescent="0.3">
      <c r="A820" s="15" t="s">
        <v>5049</v>
      </c>
      <c r="B820" s="12" t="str">
        <f>IFERROR(INDEX(Mots!$B:$B,MATCH($A820,Mots!$A:$A,0)),"introuvable")</f>
        <v>la saleté</v>
      </c>
      <c r="N820" s="15" t="s">
        <v>6959</v>
      </c>
    </row>
    <row r="821" spans="1:15" x14ac:dyDescent="0.3">
      <c r="A821" s="15" t="s">
        <v>5057</v>
      </c>
      <c r="B821" s="12" t="str">
        <f>IFERROR(INDEX(Mots!$B:$B,MATCH($A821,Mots!$A:$A,0)),"introuvable")</f>
        <v>la santé</v>
      </c>
      <c r="N821" s="15" t="s">
        <v>7718</v>
      </c>
    </row>
    <row r="822" spans="1:15" x14ac:dyDescent="0.3">
      <c r="A822" s="15" t="s">
        <v>5061</v>
      </c>
      <c r="B822" s="12" t="str">
        <f>IFERROR(INDEX(Mots!$B:$B,MATCH($A822,Mots!$A:$A,0)),"introuvable")</f>
        <v>la sauce</v>
      </c>
      <c r="C822" s="15" t="s">
        <v>7740</v>
      </c>
      <c r="I822" s="15" t="s">
        <v>702</v>
      </c>
      <c r="N822" s="15" t="s">
        <v>7711</v>
      </c>
    </row>
    <row r="823" spans="1:15" x14ac:dyDescent="0.3">
      <c r="A823" s="15" t="s">
        <v>5071</v>
      </c>
      <c r="B823" s="12" t="str">
        <f>IFERROR(INDEX(Mots!$B:$B,MATCH($A823,Mots!$A:$A,0)),"introuvable")</f>
        <v>la serviette</v>
      </c>
      <c r="C823" s="15" t="s">
        <v>4645</v>
      </c>
      <c r="I823" s="15" t="s">
        <v>2762</v>
      </c>
      <c r="N823" s="15" t="s">
        <v>7718</v>
      </c>
    </row>
    <row r="824" spans="1:15" x14ac:dyDescent="0.3">
      <c r="A824" s="15" t="s">
        <v>5075</v>
      </c>
      <c r="B824" s="12" t="str">
        <f>IFERROR(INDEX(Mots!$B:$B,MATCH($A824,Mots!$A:$A,0)),"introuvable")</f>
        <v>la signature</v>
      </c>
      <c r="I824" s="15" t="s">
        <v>3780</v>
      </c>
    </row>
    <row r="825" spans="1:15" x14ac:dyDescent="0.3">
      <c r="A825" s="15" t="s">
        <v>5083</v>
      </c>
      <c r="B825" s="12" t="str">
        <f>IFERROR(INDEX(Mots!$B:$B,MATCH($A825,Mots!$A:$A,0)),"introuvable")</f>
        <v>la société</v>
      </c>
      <c r="I825" s="15" t="s">
        <v>3780</v>
      </c>
    </row>
    <row r="826" spans="1:15" x14ac:dyDescent="0.3">
      <c r="A826" s="15" t="s">
        <v>5094</v>
      </c>
      <c r="B826" s="12" t="str">
        <f>IFERROR(INDEX(Mots!$B:$B,MATCH($A826,Mots!$A:$A,0)),"introuvable")</f>
        <v>la sortie</v>
      </c>
      <c r="I826" s="15" t="s">
        <v>34</v>
      </c>
      <c r="J826" s="15" t="s">
        <v>82</v>
      </c>
    </row>
    <row r="827" spans="1:15" x14ac:dyDescent="0.3">
      <c r="A827" s="15" t="s">
        <v>5101</v>
      </c>
      <c r="B827" s="12" t="str">
        <f>IFERROR(INDEX(Mots!$B:$B,MATCH($A827,Mots!$A:$A,0)),"introuvable")</f>
        <v>la source</v>
      </c>
      <c r="I827" s="15" t="s">
        <v>3780</v>
      </c>
    </row>
    <row r="828" spans="1:15" x14ac:dyDescent="0.3">
      <c r="A828" s="15" t="s">
        <v>5105</v>
      </c>
      <c r="B828" s="12" t="str">
        <f>IFERROR(INDEX(Mots!$B:$B,MATCH($A828,Mots!$A:$A,0)),"introuvable")</f>
        <v>la sucrerie</v>
      </c>
      <c r="I828" s="15" t="s">
        <v>702</v>
      </c>
    </row>
    <row r="829" spans="1:15" x14ac:dyDescent="0.3">
      <c r="A829" s="15" t="s">
        <v>5108</v>
      </c>
      <c r="B829" s="12" t="str">
        <f>IFERROR(INDEX(Mots!$B:$B,MATCH($A829,Mots!$A:$A,0)),"introuvable")</f>
        <v>la surface</v>
      </c>
      <c r="C829" s="15" t="s">
        <v>7740</v>
      </c>
      <c r="I829" s="15" t="s">
        <v>702</v>
      </c>
    </row>
    <row r="830" spans="1:15" x14ac:dyDescent="0.3">
      <c r="A830" s="15" t="s">
        <v>5112</v>
      </c>
      <c r="B830" s="12" t="str">
        <f>IFERROR(INDEX(Mots!$B:$B,MATCH($A830,Mots!$A:$A,0)),"introuvable")</f>
        <v>la tâche</v>
      </c>
      <c r="I830" s="15" t="s">
        <v>73</v>
      </c>
    </row>
    <row r="831" spans="1:15" x14ac:dyDescent="0.3">
      <c r="A831" s="15" t="s">
        <v>5116</v>
      </c>
      <c r="B831" s="12" t="str">
        <f>IFERROR(INDEX(Mots!$B:$B,MATCH($A831,Mots!$A:$A,0)),"introuvable")</f>
        <v>la tempête</v>
      </c>
      <c r="I831" s="15" t="s">
        <v>3780</v>
      </c>
    </row>
    <row r="832" spans="1:15" x14ac:dyDescent="0.3">
      <c r="A832" s="15" t="s">
        <v>5132</v>
      </c>
      <c r="B832" s="12" t="str">
        <f>IFERROR(INDEX(Mots!$B:$B,MATCH($A832,Mots!$A:$A,0)),"introuvable")</f>
        <v>la tente</v>
      </c>
      <c r="C832" s="15" t="s">
        <v>4645</v>
      </c>
      <c r="I832" s="15" t="s">
        <v>3176</v>
      </c>
      <c r="N832" s="15" t="s">
        <v>7716</v>
      </c>
      <c r="O832" s="15" t="s">
        <v>7727</v>
      </c>
    </row>
    <row r="833" spans="1:26" x14ac:dyDescent="0.3">
      <c r="A833" s="15" t="s">
        <v>5140</v>
      </c>
      <c r="B833" s="12" t="str">
        <f>IFERROR(INDEX(Mots!$B:$B,MATCH($A833,Mots!$A:$A,0)),"introuvable")</f>
        <v>la timidité</v>
      </c>
      <c r="Z833" s="15" t="s">
        <v>7790</v>
      </c>
    </row>
    <row r="834" spans="1:26" x14ac:dyDescent="0.3">
      <c r="A834" s="15" t="s">
        <v>5161</v>
      </c>
      <c r="B834" s="12" t="str">
        <f>IFERROR(INDEX(Mots!$B:$B,MATCH($A834,Mots!$A:$A,0)),"introuvable")</f>
        <v>la valise</v>
      </c>
      <c r="C834" s="15" t="s">
        <v>828</v>
      </c>
    </row>
    <row r="835" spans="1:26" x14ac:dyDescent="0.3">
      <c r="A835" s="15" t="s">
        <v>5169</v>
      </c>
      <c r="B835" s="12" t="str">
        <f>IFERROR(INDEX(Mots!$B:$B,MATCH($A835,Mots!$A:$A,0)),"introuvable")</f>
        <v>la vallée</v>
      </c>
      <c r="I835" s="15" t="s">
        <v>3780</v>
      </c>
    </row>
    <row r="836" spans="1:26" x14ac:dyDescent="0.3">
      <c r="A836" s="15" t="s">
        <v>5173</v>
      </c>
      <c r="B836" s="12" t="str">
        <f>IFERROR(INDEX(Mots!$B:$B,MATCH($A836,Mots!$A:$A,0)),"introuvable")</f>
        <v>la vente</v>
      </c>
      <c r="I836" s="15" t="s">
        <v>3780</v>
      </c>
      <c r="N836" s="15" t="s">
        <v>7375</v>
      </c>
      <c r="O836" s="15" t="s">
        <v>7757</v>
      </c>
    </row>
    <row r="837" spans="1:26" x14ac:dyDescent="0.3">
      <c r="A837" s="15" t="s">
        <v>5190</v>
      </c>
      <c r="B837" s="12" t="str">
        <f>IFERROR(INDEX(Mots!$B:$B,MATCH($A837,Mots!$A:$A,0)),"introuvable")</f>
        <v>la vigne</v>
      </c>
      <c r="C837" s="15" t="s">
        <v>7740</v>
      </c>
      <c r="I837" s="15" t="s">
        <v>702</v>
      </c>
      <c r="J837" s="15" t="s">
        <v>3780</v>
      </c>
    </row>
    <row r="838" spans="1:26" x14ac:dyDescent="0.3">
      <c r="A838" s="15" t="s">
        <v>5194</v>
      </c>
      <c r="B838" s="12" t="str">
        <f>IFERROR(INDEX(Mots!$B:$B,MATCH($A838,Mots!$A:$A,0)),"introuvable")</f>
        <v>la vis</v>
      </c>
      <c r="C838" s="15" t="s">
        <v>4645</v>
      </c>
    </row>
    <row r="839" spans="1:26" x14ac:dyDescent="0.3">
      <c r="A839" s="15" t="s">
        <v>5208</v>
      </c>
      <c r="B839" s="12" t="str">
        <f>IFERROR(INDEX(Mots!$B:$B,MATCH($A839,Mots!$A:$A,0)),"introuvable")</f>
        <v>l'accident</v>
      </c>
      <c r="I839" s="15" t="s">
        <v>2762</v>
      </c>
    </row>
    <row r="840" spans="1:26" x14ac:dyDescent="0.3">
      <c r="A840" s="15" t="s">
        <v>5224</v>
      </c>
      <c r="B840" s="12" t="str">
        <f>IFERROR(INDEX(Mots!$B:$B,MATCH($A840,Mots!$A:$A,0)),"introuvable")</f>
        <v>l'achat</v>
      </c>
      <c r="N840" s="15" t="s">
        <v>7375</v>
      </c>
      <c r="O840" s="15" t="s">
        <v>7757</v>
      </c>
    </row>
    <row r="841" spans="1:26" x14ac:dyDescent="0.3">
      <c r="A841" s="15" t="s">
        <v>5227</v>
      </c>
      <c r="B841" s="12" t="str">
        <f>IFERROR(INDEX(Mots!$B:$B,MATCH($A841,Mots!$A:$A,0)),"introuvable")</f>
        <v>les affaires</v>
      </c>
      <c r="C841" s="15" t="s">
        <v>6831</v>
      </c>
      <c r="I841" s="15" t="s">
        <v>34</v>
      </c>
    </row>
    <row r="842" spans="1:26" x14ac:dyDescent="0.3">
      <c r="A842" s="15" t="s">
        <v>5232</v>
      </c>
      <c r="B842" s="12" t="str">
        <f>IFERROR(INDEX(Mots!$B:$B,MATCH($A842,Mots!$A:$A,0)),"introuvable")</f>
        <v>l'âge</v>
      </c>
      <c r="G842" s="15" t="s">
        <v>7799</v>
      </c>
    </row>
    <row r="843" spans="1:26" x14ac:dyDescent="0.3">
      <c r="A843" s="15" t="s">
        <v>5244</v>
      </c>
      <c r="B843" s="12" t="str">
        <f>IFERROR(INDEX(Mots!$B:$B,MATCH($A843,Mots!$A:$A,0)),"introuvable")</f>
        <v>l'aide</v>
      </c>
      <c r="N843" s="15" t="s">
        <v>7757</v>
      </c>
      <c r="O843" s="15" t="s">
        <v>3435</v>
      </c>
    </row>
    <row r="844" spans="1:26" x14ac:dyDescent="0.3">
      <c r="A844" s="15" t="s">
        <v>5267</v>
      </c>
      <c r="B844" s="12" t="str">
        <f>IFERROR(INDEX(Mots!$B:$B,MATCH($A844,Mots!$A:$A,0)),"introuvable")</f>
        <v>l'allumette</v>
      </c>
      <c r="I844" s="15" t="s">
        <v>34</v>
      </c>
    </row>
    <row r="845" spans="1:26" x14ac:dyDescent="0.3">
      <c r="A845" s="15" t="s">
        <v>5282</v>
      </c>
      <c r="B845" s="12" t="str">
        <f>IFERROR(INDEX(Mots!$B:$B,MATCH($A845,Mots!$A:$A,0)),"introuvable")</f>
        <v>l'anse</v>
      </c>
      <c r="C845" s="15" t="s">
        <v>6831</v>
      </c>
    </row>
    <row r="846" spans="1:26" x14ac:dyDescent="0.3">
      <c r="A846" s="15" t="s">
        <v>5288</v>
      </c>
      <c r="B846" s="12" t="str">
        <f>IFERROR(INDEX(Mots!$B:$B,MATCH($A846,Mots!$A:$A,0)),"introuvable")</f>
        <v>l'appareil</v>
      </c>
      <c r="C846" s="15" t="s">
        <v>6884</v>
      </c>
      <c r="I846" s="15" t="s">
        <v>73</v>
      </c>
    </row>
    <row r="847" spans="1:26" x14ac:dyDescent="0.3">
      <c r="A847" s="15" t="s">
        <v>5292</v>
      </c>
      <c r="B847" s="12" t="str">
        <f>IFERROR(INDEX(Mots!$B:$B,MATCH($A847,Mots!$A:$A,0)),"introuvable")</f>
        <v>l'appartement</v>
      </c>
      <c r="C847" s="15" t="s">
        <v>828</v>
      </c>
      <c r="I847" s="15" t="s">
        <v>34</v>
      </c>
    </row>
    <row r="848" spans="1:26" x14ac:dyDescent="0.3">
      <c r="A848" s="15" t="s">
        <v>5300</v>
      </c>
      <c r="B848" s="12" t="str">
        <f>IFERROR(INDEX(Mots!$B:$B,MATCH($A848,Mots!$A:$A,0)),"introuvable")</f>
        <v>l'arc-en-ciel</v>
      </c>
      <c r="I848" s="15" t="s">
        <v>3780</v>
      </c>
    </row>
    <row r="849" spans="1:15" x14ac:dyDescent="0.3">
      <c r="A849" s="15" t="s">
        <v>5304</v>
      </c>
      <c r="B849" s="12" t="str">
        <f>IFERROR(INDEX(Mots!$B:$B,MATCH($A849,Mots!$A:$A,0)),"introuvable")</f>
        <v>l'attention</v>
      </c>
      <c r="N849" s="15" t="s">
        <v>7752</v>
      </c>
      <c r="O849" s="15" t="s">
        <v>7757</v>
      </c>
    </row>
    <row r="850" spans="1:15" x14ac:dyDescent="0.3">
      <c r="A850" s="15" t="s">
        <v>5308</v>
      </c>
      <c r="B850" s="12" t="str">
        <f>IFERROR(INDEX(Mots!$B:$B,MATCH($A850,Mots!$A:$A,0)),"introuvable")</f>
        <v>l'autoroute</v>
      </c>
      <c r="I850" s="15" t="s">
        <v>2846</v>
      </c>
    </row>
    <row r="851" spans="1:15" x14ac:dyDescent="0.3">
      <c r="A851" s="15" t="s">
        <v>5316</v>
      </c>
      <c r="B851" s="12" t="str">
        <f>IFERROR(INDEX(Mots!$B:$B,MATCH($A851,Mots!$A:$A,0)),"introuvable")</f>
        <v>l'aventure</v>
      </c>
      <c r="I851" s="15" t="s">
        <v>3780</v>
      </c>
    </row>
    <row r="852" spans="1:15" x14ac:dyDescent="0.3">
      <c r="A852" s="15" t="s">
        <v>5326</v>
      </c>
      <c r="B852" s="12" t="str">
        <f>IFERROR(INDEX(Mots!$B:$B,MATCH($A852,Mots!$A:$A,0)),"introuvable")</f>
        <v>laver</v>
      </c>
      <c r="N852" s="15" t="s">
        <v>6959</v>
      </c>
    </row>
    <row r="853" spans="1:15" x14ac:dyDescent="0.3">
      <c r="A853" s="15" t="s">
        <v>5338</v>
      </c>
      <c r="B853" s="12" t="str">
        <f>IFERROR(INDEX(Mots!$B:$B,MATCH($A853,Mots!$A:$A,0)),"introuvable")</f>
        <v>l'avis</v>
      </c>
      <c r="N853" s="15" t="s">
        <v>7752</v>
      </c>
    </row>
    <row r="854" spans="1:15" x14ac:dyDescent="0.3">
      <c r="A854" s="15" t="s">
        <v>5344</v>
      </c>
      <c r="B854" s="12" t="str">
        <f>IFERROR(INDEX(Mots!$B:$B,MATCH($A854,Mots!$A:$A,0)),"introuvable")</f>
        <v>le bagage</v>
      </c>
      <c r="I854" s="15" t="s">
        <v>34</v>
      </c>
    </row>
    <row r="855" spans="1:15" x14ac:dyDescent="0.3">
      <c r="A855" s="15" t="s">
        <v>5348</v>
      </c>
      <c r="B855" s="12" t="str">
        <f>IFERROR(INDEX(Mots!$B:$B,MATCH($A855,Mots!$A:$A,0)),"introuvable")</f>
        <v>le bain</v>
      </c>
      <c r="I855" s="15" t="s">
        <v>2762</v>
      </c>
      <c r="N855" s="15" t="s">
        <v>6959</v>
      </c>
    </row>
    <row r="856" spans="1:15" x14ac:dyDescent="0.3">
      <c r="A856" s="15" t="s">
        <v>5356</v>
      </c>
      <c r="B856" s="12" t="str">
        <f>IFERROR(INDEX(Mots!$B:$B,MATCH($A856,Mots!$A:$A,0)),"introuvable")</f>
        <v>le balai</v>
      </c>
      <c r="C856" s="15" t="s">
        <v>6831</v>
      </c>
      <c r="N856" s="15" t="s">
        <v>6959</v>
      </c>
    </row>
    <row r="857" spans="1:15" x14ac:dyDescent="0.3">
      <c r="A857" s="15" t="s">
        <v>5364</v>
      </c>
      <c r="B857" s="12" t="str">
        <f>IFERROR(INDEX(Mots!$B:$B,MATCH($A857,Mots!$A:$A,0)),"introuvable")</f>
        <v>le balcon</v>
      </c>
      <c r="I857" s="15" t="s">
        <v>34</v>
      </c>
    </row>
    <row r="858" spans="1:15" x14ac:dyDescent="0.3">
      <c r="A858" s="15" t="s">
        <v>5372</v>
      </c>
      <c r="B858" s="12" t="str">
        <f>IFERROR(INDEX(Mots!$B:$B,MATCH($A858,Mots!$A:$A,0)),"introuvable")</f>
        <v>le ballon</v>
      </c>
      <c r="C858" s="15" t="s">
        <v>6831</v>
      </c>
    </row>
    <row r="859" spans="1:15" x14ac:dyDescent="0.3">
      <c r="A859" s="15" t="s">
        <v>5380</v>
      </c>
      <c r="B859" s="12" t="str">
        <f>IFERROR(INDEX(Mots!$B:$B,MATCH($A859,Mots!$A:$A,0)),"introuvable")</f>
        <v>le bandage</v>
      </c>
      <c r="C859" s="15" t="s">
        <v>4645</v>
      </c>
      <c r="I859" s="15" t="s">
        <v>5057</v>
      </c>
      <c r="N859" s="15" t="s">
        <v>7716</v>
      </c>
      <c r="O859" s="15" t="s">
        <v>7718</v>
      </c>
    </row>
    <row r="860" spans="1:15" x14ac:dyDescent="0.3">
      <c r="A860" s="15" t="s">
        <v>5388</v>
      </c>
      <c r="B860" s="12" t="str">
        <f>IFERROR(INDEX(Mots!$B:$B,MATCH($A860,Mots!$A:$A,0)),"introuvable")</f>
        <v>le bâtiment</v>
      </c>
      <c r="C860" s="15" t="s">
        <v>5388</v>
      </c>
      <c r="I860" s="15" t="s">
        <v>34</v>
      </c>
      <c r="J860" s="15" t="s">
        <v>82</v>
      </c>
    </row>
    <row r="861" spans="1:15" x14ac:dyDescent="0.3">
      <c r="A861" s="15" t="s">
        <v>5401</v>
      </c>
      <c r="B861" s="12" t="str">
        <f>IFERROR(INDEX(Mots!$B:$B,MATCH($A861,Mots!$A:$A,0)),"introuvable")</f>
        <v>le beurre</v>
      </c>
      <c r="C861" s="15" t="s">
        <v>7740</v>
      </c>
      <c r="I861" s="15" t="s">
        <v>702</v>
      </c>
      <c r="N861" s="15" t="s">
        <v>7711</v>
      </c>
    </row>
    <row r="862" spans="1:15" x14ac:dyDescent="0.3">
      <c r="A862" s="15" t="s">
        <v>5407</v>
      </c>
      <c r="B862" s="12" t="str">
        <f>IFERROR(INDEX(Mots!$B:$B,MATCH($A862,Mots!$A:$A,0)),"introuvable")</f>
        <v>le billet</v>
      </c>
      <c r="N862" s="15" t="s">
        <v>7720</v>
      </c>
    </row>
    <row r="863" spans="1:15" x14ac:dyDescent="0.3">
      <c r="A863" s="15" t="s">
        <v>5413</v>
      </c>
      <c r="B863" s="12" t="str">
        <f>IFERROR(INDEX(Mots!$B:$B,MATCH($A863,Mots!$A:$A,0)),"introuvable")</f>
        <v>le blé</v>
      </c>
      <c r="C863" s="15" t="s">
        <v>2811</v>
      </c>
      <c r="I863" s="15" t="s">
        <v>702</v>
      </c>
      <c r="J863" s="15" t="s">
        <v>3780</v>
      </c>
    </row>
    <row r="864" spans="1:15" x14ac:dyDescent="0.3">
      <c r="A864" s="15" t="s">
        <v>5421</v>
      </c>
      <c r="B864" s="12" t="str">
        <f>IFERROR(INDEX(Mots!$B:$B,MATCH($A864,Mots!$A:$A,0)),"introuvable")</f>
        <v>le bocal</v>
      </c>
      <c r="I864" s="15" t="s">
        <v>702</v>
      </c>
    </row>
    <row r="865" spans="1:26" x14ac:dyDescent="0.3">
      <c r="A865" s="15" t="s">
        <v>5429</v>
      </c>
      <c r="B865" s="12" t="str">
        <f>IFERROR(INDEX(Mots!$B:$B,MATCH($A865,Mots!$A:$A,0)),"introuvable")</f>
        <v>le bois</v>
      </c>
      <c r="C865" s="15" t="s">
        <v>2811</v>
      </c>
      <c r="I865" s="15" t="s">
        <v>3780</v>
      </c>
    </row>
    <row r="866" spans="1:26" x14ac:dyDescent="0.3">
      <c r="A866" s="15" t="s">
        <v>5437</v>
      </c>
      <c r="B866" s="12" t="str">
        <f>IFERROR(INDEX(Mots!$B:$B,MATCH($A866,Mots!$A:$A,0)),"introuvable")</f>
        <v>le bonbon</v>
      </c>
      <c r="I866" s="15" t="s">
        <v>702</v>
      </c>
    </row>
    <row r="867" spans="1:26" x14ac:dyDescent="0.3">
      <c r="A867" s="15" t="s">
        <v>5450</v>
      </c>
      <c r="B867" s="12" t="str">
        <f>IFERROR(INDEX(Mots!$B:$B,MATCH($A867,Mots!$A:$A,0)),"introuvable")</f>
        <v>le bourgeon</v>
      </c>
      <c r="C867" s="15" t="s">
        <v>2811</v>
      </c>
      <c r="I867" s="15" t="s">
        <v>3780</v>
      </c>
    </row>
    <row r="868" spans="1:26" x14ac:dyDescent="0.3">
      <c r="A868" s="15" t="s">
        <v>5462</v>
      </c>
      <c r="B868" s="12" t="str">
        <f>IFERROR(INDEX(Mots!$B:$B,MATCH($A868,Mots!$A:$A,0)),"introuvable")</f>
        <v>le bouton</v>
      </c>
      <c r="C868" s="15" t="s">
        <v>6572</v>
      </c>
      <c r="N868" s="15" t="s">
        <v>7716</v>
      </c>
    </row>
    <row r="869" spans="1:26" x14ac:dyDescent="0.3">
      <c r="A869" s="15" t="s">
        <v>5466</v>
      </c>
      <c r="B869" s="12" t="str">
        <f>IFERROR(INDEX(Mots!$B:$B,MATCH($A869,Mots!$A:$A,0)),"introuvable")</f>
        <v>le bricolage</v>
      </c>
      <c r="C869" s="15" t="s">
        <v>6831</v>
      </c>
      <c r="N869" s="15" t="s">
        <v>7729</v>
      </c>
    </row>
    <row r="870" spans="1:26" x14ac:dyDescent="0.3">
      <c r="A870" s="15" t="s">
        <v>5482</v>
      </c>
      <c r="B870" s="12" t="str">
        <f>IFERROR(INDEX(Mots!$B:$B,MATCH($A870,Mots!$A:$A,0)),"introuvable")</f>
        <v>le brouillard</v>
      </c>
      <c r="I870" s="15" t="s">
        <v>3780</v>
      </c>
    </row>
    <row r="871" spans="1:26" x14ac:dyDescent="0.3">
      <c r="A871" s="15" t="s">
        <v>5490</v>
      </c>
      <c r="B871" s="12" t="str">
        <f>IFERROR(INDEX(Mots!$B:$B,MATCH($A871,Mots!$A:$A,0)),"introuvable")</f>
        <v>le bruit</v>
      </c>
      <c r="I871" s="15" t="s">
        <v>3780</v>
      </c>
    </row>
    <row r="872" spans="1:26" x14ac:dyDescent="0.3">
      <c r="A872" s="15" t="s">
        <v>5496</v>
      </c>
      <c r="B872" s="12" t="str">
        <f>IFERROR(INDEX(Mots!$B:$B,MATCH($A872,Mots!$A:$A,0)),"introuvable")</f>
        <v>le buisson</v>
      </c>
      <c r="C872" s="15" t="s">
        <v>2811</v>
      </c>
      <c r="I872" s="15" t="s">
        <v>3780</v>
      </c>
    </row>
    <row r="873" spans="1:26" x14ac:dyDescent="0.3">
      <c r="A873" s="15" t="s">
        <v>5512</v>
      </c>
      <c r="B873" s="12" t="str">
        <f>IFERROR(INDEX(Mots!$B:$B,MATCH($A873,Mots!$A:$A,0)),"introuvable")</f>
        <v>le cadeau</v>
      </c>
      <c r="C873" s="15" t="s">
        <v>6831</v>
      </c>
    </row>
    <row r="874" spans="1:26" x14ac:dyDescent="0.3">
      <c r="A874" s="15" t="s">
        <v>5528</v>
      </c>
      <c r="B874" s="12" t="str">
        <f>IFERROR(INDEX(Mots!$B:$B,MATCH($A874,Mots!$A:$A,0)),"introuvable")</f>
        <v>le calcul</v>
      </c>
      <c r="G874" s="15" t="s">
        <v>6023</v>
      </c>
    </row>
    <row r="875" spans="1:26" x14ac:dyDescent="0.3">
      <c r="A875" s="15" t="s">
        <v>5532</v>
      </c>
      <c r="B875" s="12" t="str">
        <f>IFERROR(INDEX(Mots!$B:$B,MATCH($A875,Mots!$A:$A,0)),"introuvable")</f>
        <v>le calme</v>
      </c>
      <c r="N875" s="15" t="s">
        <v>7727</v>
      </c>
    </row>
    <row r="876" spans="1:26" x14ac:dyDescent="0.3">
      <c r="A876" s="15" t="s">
        <v>5544</v>
      </c>
      <c r="B876" s="12" t="str">
        <f>IFERROR(INDEX(Mots!$B:$B,MATCH($A876,Mots!$A:$A,0)),"introuvable")</f>
        <v>le caoutchouc</v>
      </c>
      <c r="C876" s="15" t="s">
        <v>4645</v>
      </c>
      <c r="I876" s="15" t="s">
        <v>2846</v>
      </c>
    </row>
    <row r="877" spans="1:26" x14ac:dyDescent="0.3">
      <c r="A877" s="15" t="s">
        <v>5566</v>
      </c>
      <c r="B877" s="12" t="str">
        <f>IFERROR(INDEX(Mots!$B:$B,MATCH($A877,Mots!$A:$A,0)),"introuvable")</f>
        <v>le chagrin</v>
      </c>
      <c r="Z877" s="15" t="s">
        <v>7790</v>
      </c>
    </row>
    <row r="878" spans="1:26" x14ac:dyDescent="0.3">
      <c r="A878" s="15" t="s">
        <v>5575</v>
      </c>
      <c r="B878" s="12" t="str">
        <f>IFERROR(INDEX(Mots!$B:$B,MATCH($A878,Mots!$A:$A,0)),"introuvable")</f>
        <v>le champ</v>
      </c>
      <c r="C878" s="15" t="s">
        <v>7740</v>
      </c>
      <c r="I878" s="15" t="s">
        <v>702</v>
      </c>
      <c r="J878" s="15" t="s">
        <v>3780</v>
      </c>
    </row>
    <row r="879" spans="1:26" x14ac:dyDescent="0.3">
      <c r="A879" s="15" t="s">
        <v>5583</v>
      </c>
      <c r="B879" s="12" t="str">
        <f>IFERROR(INDEX(Mots!$B:$B,MATCH($A879,Mots!$A:$A,0)),"introuvable")</f>
        <v>le champignon</v>
      </c>
      <c r="C879" s="15" t="s">
        <v>2811</v>
      </c>
      <c r="I879" s="15" t="s">
        <v>3780</v>
      </c>
    </row>
    <row r="880" spans="1:26" x14ac:dyDescent="0.3">
      <c r="A880" s="15" t="s">
        <v>5591</v>
      </c>
      <c r="B880" s="12" t="str">
        <f>IFERROR(INDEX(Mots!$B:$B,MATCH($A880,Mots!$A:$A,0)),"introuvable")</f>
        <v>le champion</v>
      </c>
      <c r="I880" s="15" t="s">
        <v>3780</v>
      </c>
      <c r="J880" s="15" t="s">
        <v>7709</v>
      </c>
      <c r="N880" s="15" t="s">
        <v>7723</v>
      </c>
    </row>
    <row r="881" spans="1:15" x14ac:dyDescent="0.3">
      <c r="A881" s="15" t="s">
        <v>5599</v>
      </c>
      <c r="B881" s="12" t="str">
        <f>IFERROR(INDEX(Mots!$B:$B,MATCH($A881,Mots!$A:$A,0)),"introuvable")</f>
        <v>le chapeau</v>
      </c>
      <c r="N881" s="15" t="s">
        <v>7716</v>
      </c>
    </row>
    <row r="882" spans="1:15" x14ac:dyDescent="0.3">
      <c r="A882" s="15" t="s">
        <v>5603</v>
      </c>
      <c r="B882" s="12" t="str">
        <f>IFERROR(INDEX(Mots!$B:$B,MATCH($A882,Mots!$A:$A,0)),"introuvable")</f>
        <v>le chemin</v>
      </c>
      <c r="I882" s="15" t="s">
        <v>3780</v>
      </c>
      <c r="N882" s="15" t="s">
        <v>7725</v>
      </c>
    </row>
    <row r="883" spans="1:15" x14ac:dyDescent="0.3">
      <c r="A883" s="15" t="s">
        <v>5608</v>
      </c>
      <c r="B883" s="12" t="str">
        <f>IFERROR(INDEX(Mots!$B:$B,MATCH($A883,Mots!$A:$A,0)),"introuvable")</f>
        <v>le choc</v>
      </c>
      <c r="I883" s="15" t="s">
        <v>2762</v>
      </c>
      <c r="J883" s="15" t="s">
        <v>2846</v>
      </c>
    </row>
    <row r="884" spans="1:15" x14ac:dyDescent="0.3">
      <c r="A884" s="15" t="s">
        <v>5615</v>
      </c>
      <c r="B884" s="12" t="str">
        <f>IFERROR(INDEX(Mots!$B:$B,MATCH($A884,Mots!$A:$A,0)),"introuvable")</f>
        <v>le chocolat</v>
      </c>
      <c r="C884" s="15" t="s">
        <v>7740</v>
      </c>
      <c r="I884" s="15" t="s">
        <v>702</v>
      </c>
      <c r="N884" s="15" t="s">
        <v>7711</v>
      </c>
    </row>
    <row r="885" spans="1:15" x14ac:dyDescent="0.3">
      <c r="A885" s="15" t="s">
        <v>5623</v>
      </c>
      <c r="B885" s="12" t="str">
        <f>IFERROR(INDEX(Mots!$B:$B,MATCH($A885,Mots!$A:$A,0)),"introuvable")</f>
        <v>le cintre</v>
      </c>
      <c r="C885" s="15" t="s">
        <v>6572</v>
      </c>
      <c r="N885" s="15" t="s">
        <v>7716</v>
      </c>
    </row>
    <row r="886" spans="1:15" x14ac:dyDescent="0.3">
      <c r="A886" s="15" t="s">
        <v>5631</v>
      </c>
      <c r="B886" s="12" t="str">
        <f>IFERROR(INDEX(Mots!$B:$B,MATCH($A886,Mots!$A:$A,0)),"introuvable")</f>
        <v>le citron</v>
      </c>
      <c r="C886" s="15" t="s">
        <v>7740</v>
      </c>
      <c r="I886" s="15" t="s">
        <v>702</v>
      </c>
      <c r="N886" s="15" t="s">
        <v>7711</v>
      </c>
    </row>
    <row r="887" spans="1:15" x14ac:dyDescent="0.3">
      <c r="A887" s="15" t="s">
        <v>5639</v>
      </c>
      <c r="B887" s="12" t="str">
        <f>IFERROR(INDEX(Mots!$B:$B,MATCH($A887,Mots!$A:$A,0)),"introuvable")</f>
        <v>le clou</v>
      </c>
      <c r="C887" s="15" t="s">
        <v>4645</v>
      </c>
      <c r="N887" s="15" t="s">
        <v>7729</v>
      </c>
    </row>
    <row r="888" spans="1:15" x14ac:dyDescent="0.3">
      <c r="A888" s="15" t="s">
        <v>5646</v>
      </c>
      <c r="B888" s="12" t="str">
        <f>IFERROR(INDEX(Mots!$B:$B,MATCH($A888,Mots!$A:$A,0)),"introuvable")</f>
        <v>le commerce</v>
      </c>
      <c r="I888" s="15" t="s">
        <v>82</v>
      </c>
      <c r="N888" s="15" t="s">
        <v>7375</v>
      </c>
      <c r="O888" s="15" t="s">
        <v>7757</v>
      </c>
    </row>
    <row r="889" spans="1:15" x14ac:dyDescent="0.3">
      <c r="A889" s="15" t="s">
        <v>5655</v>
      </c>
      <c r="B889" s="12" t="str">
        <f>IFERROR(INDEX(Mots!$B:$B,MATCH($A889,Mots!$A:$A,0)),"introuvable")</f>
        <v>le comprimé</v>
      </c>
      <c r="I889" s="15" t="s">
        <v>5057</v>
      </c>
      <c r="N889" s="15" t="s">
        <v>7718</v>
      </c>
    </row>
    <row r="890" spans="1:15" x14ac:dyDescent="0.3">
      <c r="A890" s="15" t="s">
        <v>5667</v>
      </c>
      <c r="B890" s="12" t="str">
        <f>IFERROR(INDEX(Mots!$B:$B,MATCH($A890,Mots!$A:$A,0)),"introuvable")</f>
        <v>le cône</v>
      </c>
      <c r="I890" s="15" t="s">
        <v>3780</v>
      </c>
    </row>
    <row r="891" spans="1:15" x14ac:dyDescent="0.3">
      <c r="A891" s="15" t="s">
        <v>5675</v>
      </c>
      <c r="B891" s="12" t="str">
        <f>IFERROR(INDEX(Mots!$B:$B,MATCH($A891,Mots!$A:$A,0)),"introuvable")</f>
        <v>le copain</v>
      </c>
      <c r="I891" s="15" t="s">
        <v>702</v>
      </c>
    </row>
    <row r="892" spans="1:15" x14ac:dyDescent="0.3">
      <c r="A892" s="15" t="s">
        <v>5701</v>
      </c>
      <c r="B892" s="12" t="str">
        <f>IFERROR(INDEX(Mots!$B:$B,MATCH($A892,Mots!$A:$A,0)),"introuvable")</f>
        <v>le coussin</v>
      </c>
      <c r="I892" s="15" t="s">
        <v>3176</v>
      </c>
      <c r="J892" s="15" t="s">
        <v>817</v>
      </c>
    </row>
    <row r="893" spans="1:15" x14ac:dyDescent="0.3">
      <c r="A893" s="15" t="s">
        <v>5705</v>
      </c>
      <c r="B893" s="12" t="str">
        <f>IFERROR(INDEX(Mots!$B:$B,MATCH($A893,Mots!$A:$A,0)),"introuvable")</f>
        <v>le couvercle</v>
      </c>
      <c r="I893" s="15" t="s">
        <v>702</v>
      </c>
      <c r="N893" s="15" t="s">
        <v>7713</v>
      </c>
    </row>
    <row r="894" spans="1:15" x14ac:dyDescent="0.3">
      <c r="A894" s="15" t="s">
        <v>5713</v>
      </c>
      <c r="B894" s="12" t="str">
        <f>IFERROR(INDEX(Mots!$B:$B,MATCH($A894,Mots!$A:$A,0)),"introuvable")</f>
        <v>le crayon</v>
      </c>
      <c r="C894" s="15" t="s">
        <v>4645</v>
      </c>
    </row>
    <row r="895" spans="1:15" x14ac:dyDescent="0.3">
      <c r="A895" s="15" t="s">
        <v>5726</v>
      </c>
      <c r="B895" s="12" t="str">
        <f>IFERROR(INDEX(Mots!$B:$B,MATCH($A895,Mots!$A:$A,0)),"introuvable")</f>
        <v>le danger</v>
      </c>
      <c r="I895" s="15" t="s">
        <v>2762</v>
      </c>
    </row>
    <row r="896" spans="1:15" x14ac:dyDescent="0.3">
      <c r="A896" s="15" t="s">
        <v>5761</v>
      </c>
      <c r="B896" s="12" t="str">
        <f>IFERROR(INDEX(Mots!$B:$B,MATCH($A896,Mots!$A:$A,0)),"introuvable")</f>
        <v>le déjeuner</v>
      </c>
      <c r="I896" s="15" t="s">
        <v>702</v>
      </c>
      <c r="N896" s="15" t="s">
        <v>7711</v>
      </c>
    </row>
    <row r="897" spans="1:14" x14ac:dyDescent="0.3">
      <c r="A897" s="15" t="s">
        <v>5772</v>
      </c>
      <c r="B897" s="12" t="str">
        <f>IFERROR(INDEX(Mots!$B:$B,MATCH($A897,Mots!$A:$A,0)),"introuvable")</f>
        <v>le dessert</v>
      </c>
      <c r="C897" s="15" t="s">
        <v>7740</v>
      </c>
      <c r="I897" s="15" t="s">
        <v>702</v>
      </c>
      <c r="N897" s="15" t="s">
        <v>7711</v>
      </c>
    </row>
    <row r="898" spans="1:14" x14ac:dyDescent="0.3">
      <c r="A898" s="15" t="s">
        <v>5779</v>
      </c>
      <c r="B898" s="12" t="str">
        <f>IFERROR(INDEX(Mots!$B:$B,MATCH($A898,Mots!$A:$A,0)),"introuvable")</f>
        <v>le devoir</v>
      </c>
      <c r="I898" s="15" t="s">
        <v>34</v>
      </c>
      <c r="J898" s="15" t="s">
        <v>3780</v>
      </c>
      <c r="K898" s="15" t="s">
        <v>82</v>
      </c>
      <c r="L898" s="15" t="s">
        <v>73</v>
      </c>
    </row>
    <row r="899" spans="1:14" x14ac:dyDescent="0.3">
      <c r="A899" s="15" t="s">
        <v>5783</v>
      </c>
      <c r="B899" s="12" t="str">
        <f>IFERROR(INDEX(Mots!$B:$B,MATCH($A899,Mots!$A:$A,0)),"introuvable")</f>
        <v>le dîner</v>
      </c>
      <c r="I899" s="15" t="s">
        <v>702</v>
      </c>
      <c r="N899" s="15" t="s">
        <v>7711</v>
      </c>
    </row>
    <row r="900" spans="1:14" x14ac:dyDescent="0.3">
      <c r="A900" s="15" t="s">
        <v>5787</v>
      </c>
      <c r="B900" s="12" t="str">
        <f>IFERROR(INDEX(Mots!$B:$B,MATCH($A900,Mots!$A:$A,0)),"introuvable")</f>
        <v>le disque</v>
      </c>
      <c r="C900" s="15" t="s">
        <v>7740</v>
      </c>
      <c r="I900" s="15" t="s">
        <v>702</v>
      </c>
    </row>
    <row r="901" spans="1:14" x14ac:dyDescent="0.3">
      <c r="A901" s="15" t="s">
        <v>5791</v>
      </c>
      <c r="B901" s="12" t="str">
        <f>IFERROR(INDEX(Mots!$B:$B,MATCH($A901,Mots!$A:$A,0)),"introuvable")</f>
        <v>le document</v>
      </c>
      <c r="C901" s="15" t="s">
        <v>5791</v>
      </c>
    </row>
    <row r="902" spans="1:14" x14ac:dyDescent="0.3">
      <c r="A902" s="15" t="s">
        <v>5799</v>
      </c>
      <c r="B902" s="12" t="str">
        <f>IFERROR(INDEX(Mots!$B:$B,MATCH($A902,Mots!$A:$A,0)),"introuvable")</f>
        <v>le fer</v>
      </c>
      <c r="C902" s="15" t="s">
        <v>4645</v>
      </c>
    </row>
    <row r="903" spans="1:14" x14ac:dyDescent="0.3">
      <c r="A903" s="15" t="s">
        <v>5819</v>
      </c>
      <c r="B903" s="12" t="str">
        <f>IFERROR(INDEX(Mots!$B:$B,MATCH($A903,Mots!$A:$A,0)),"introuvable")</f>
        <v>le frein</v>
      </c>
      <c r="I903" s="15" t="s">
        <v>2846</v>
      </c>
    </row>
    <row r="904" spans="1:14" x14ac:dyDescent="0.3">
      <c r="A904" s="15" t="s">
        <v>5833</v>
      </c>
      <c r="B904" s="12" t="str">
        <f>IFERROR(INDEX(Mots!$B:$B,MATCH($A904,Mots!$A:$A,0)),"introuvable")</f>
        <v>le gel</v>
      </c>
      <c r="I904" s="15" t="s">
        <v>3780</v>
      </c>
    </row>
    <row r="905" spans="1:14" x14ac:dyDescent="0.3">
      <c r="A905" s="15" t="s">
        <v>5837</v>
      </c>
      <c r="B905" s="12" t="str">
        <f>IFERROR(INDEX(Mots!$B:$B,MATCH($A905,Mots!$A:$A,0)),"introuvable")</f>
        <v>le geste</v>
      </c>
      <c r="C905" s="15" t="s">
        <v>7749</v>
      </c>
      <c r="E905" s="15" t="s">
        <v>46</v>
      </c>
    </row>
    <row r="906" spans="1:14" x14ac:dyDescent="0.3">
      <c r="A906" s="15" t="s">
        <v>5843</v>
      </c>
      <c r="B906" s="12" t="str">
        <f>IFERROR(INDEX(Mots!$B:$B,MATCH($A906,Mots!$A:$A,0)),"introuvable")</f>
        <v>le goût</v>
      </c>
      <c r="N906" s="15" t="s">
        <v>7711</v>
      </c>
    </row>
    <row r="907" spans="1:14" x14ac:dyDescent="0.3">
      <c r="A907" s="15" t="s">
        <v>5866</v>
      </c>
      <c r="B907" s="12" t="str">
        <f>IFERROR(INDEX(Mots!$B:$B,MATCH($A907,Mots!$A:$A,0)),"introuvable")</f>
        <v>le jardin</v>
      </c>
      <c r="C907" s="15" t="s">
        <v>7740</v>
      </c>
      <c r="I907" s="15" t="s">
        <v>702</v>
      </c>
      <c r="J907" s="15" t="s">
        <v>34</v>
      </c>
      <c r="K907" s="15" t="s">
        <v>3780</v>
      </c>
    </row>
    <row r="908" spans="1:14" x14ac:dyDescent="0.3">
      <c r="A908" s="15" t="s">
        <v>5870</v>
      </c>
      <c r="B908" s="12" t="str">
        <f>IFERROR(INDEX(Mots!$B:$B,MATCH($A908,Mots!$A:$A,0)),"introuvable")</f>
        <v>le jardinage</v>
      </c>
      <c r="C908" s="15" t="s">
        <v>2811</v>
      </c>
      <c r="I908" s="15" t="s">
        <v>3780</v>
      </c>
      <c r="N908" s="15" t="s">
        <v>3435</v>
      </c>
    </row>
    <row r="909" spans="1:14" x14ac:dyDescent="0.3">
      <c r="A909" s="15" t="s">
        <v>5881</v>
      </c>
      <c r="B909" s="12" t="str">
        <f>IFERROR(INDEX(Mots!$B:$B,MATCH($A909,Mots!$A:$A,0)),"introuvable")</f>
        <v>le jouet</v>
      </c>
      <c r="C909" s="15" t="s">
        <v>6831</v>
      </c>
    </row>
    <row r="910" spans="1:14" x14ac:dyDescent="0.3">
      <c r="A910" s="15" t="s">
        <v>5885</v>
      </c>
      <c r="B910" s="12" t="str">
        <f>IFERROR(INDEX(Mots!$B:$B,MATCH($A910,Mots!$A:$A,0)),"introuvable")</f>
        <v>le jus</v>
      </c>
      <c r="C910" s="15" t="s">
        <v>7740</v>
      </c>
      <c r="I910" s="15" t="s">
        <v>702</v>
      </c>
    </row>
    <row r="911" spans="1:14" x14ac:dyDescent="0.3">
      <c r="A911" s="15" t="s">
        <v>5893</v>
      </c>
      <c r="B911" s="12" t="str">
        <f>IFERROR(INDEX(Mots!$B:$B,MATCH($A911,Mots!$A:$A,0)),"introuvable")</f>
        <v>le lac</v>
      </c>
      <c r="I911" s="15" t="s">
        <v>3780</v>
      </c>
    </row>
    <row r="912" spans="1:14" x14ac:dyDescent="0.3">
      <c r="A912" s="15" t="s">
        <v>5897</v>
      </c>
      <c r="B912" s="12" t="str">
        <f>IFERROR(INDEX(Mots!$B:$B,MATCH($A912,Mots!$A:$A,0)),"introuvable")</f>
        <v>les produits laitiers</v>
      </c>
      <c r="C912" s="15" t="s">
        <v>7740</v>
      </c>
      <c r="I912" s="15" t="s">
        <v>702</v>
      </c>
      <c r="N912" s="15" t="s">
        <v>7711</v>
      </c>
    </row>
    <row r="913" spans="1:15" x14ac:dyDescent="0.3">
      <c r="A913" s="15" t="s">
        <v>5912</v>
      </c>
      <c r="B913" s="12" t="str">
        <f>IFERROR(INDEX(Mots!$B:$B,MATCH($A913,Mots!$A:$A,0)),"introuvable")</f>
        <v>le livre</v>
      </c>
      <c r="C913" s="15" t="s">
        <v>6831</v>
      </c>
    </row>
    <row r="914" spans="1:15" x14ac:dyDescent="0.3">
      <c r="A914" s="15" t="s">
        <v>5920</v>
      </c>
      <c r="B914" s="12" t="str">
        <f>IFERROR(INDEX(Mots!$B:$B,MATCH($A914,Mots!$A:$A,0)),"introuvable")</f>
        <v>le logement</v>
      </c>
      <c r="I914" s="15" t="s">
        <v>34</v>
      </c>
    </row>
    <row r="915" spans="1:15" x14ac:dyDescent="0.3">
      <c r="A915" s="15" t="s">
        <v>5923</v>
      </c>
      <c r="B915" s="12" t="str">
        <f>IFERROR(INDEX(Mots!$B:$B,MATCH($A915,Mots!$A:$A,0)),"introuvable")</f>
        <v>le maître</v>
      </c>
      <c r="I915" s="15" t="s">
        <v>82</v>
      </c>
    </row>
    <row r="916" spans="1:15" x14ac:dyDescent="0.3">
      <c r="A916" s="15" t="s">
        <v>5931</v>
      </c>
      <c r="B916" s="12" t="str">
        <f>IFERROR(INDEX(Mots!$B:$B,MATCH($A916,Mots!$A:$A,0)),"introuvable")</f>
        <v>le manteau</v>
      </c>
      <c r="C916" s="15" t="s">
        <v>6572</v>
      </c>
      <c r="N916" s="15" t="s">
        <v>7716</v>
      </c>
    </row>
    <row r="917" spans="1:15" x14ac:dyDescent="0.3">
      <c r="A917" s="15" t="s">
        <v>5935</v>
      </c>
      <c r="B917" s="12" t="str">
        <f>IFERROR(INDEX(Mots!$B:$B,MATCH($A917,Mots!$A:$A,0)),"introuvable")</f>
        <v>le marteau</v>
      </c>
      <c r="C917" s="15" t="s">
        <v>6884</v>
      </c>
      <c r="I917" s="15" t="s">
        <v>3780</v>
      </c>
      <c r="N917" s="15" t="s">
        <v>7729</v>
      </c>
    </row>
    <row r="918" spans="1:15" x14ac:dyDescent="0.3">
      <c r="A918" s="15" t="s">
        <v>5951</v>
      </c>
      <c r="B918" s="12" t="str">
        <f>IFERROR(INDEX(Mots!$B:$B,MATCH($A918,Mots!$A:$A,0)),"introuvable")</f>
        <v>le médicament</v>
      </c>
      <c r="I918" s="15" t="s">
        <v>5057</v>
      </c>
      <c r="N918" s="15" t="s">
        <v>7718</v>
      </c>
    </row>
    <row r="919" spans="1:15" x14ac:dyDescent="0.3">
      <c r="A919" s="15" t="s">
        <v>5970</v>
      </c>
      <c r="B919" s="12" t="str">
        <f>IFERROR(INDEX(Mots!$B:$B,MATCH($A919,Mots!$A:$A,0)),"introuvable")</f>
        <v>le métal</v>
      </c>
      <c r="C919" s="15" t="s">
        <v>4645</v>
      </c>
    </row>
    <row r="920" spans="1:15" x14ac:dyDescent="0.3">
      <c r="A920" s="15" t="s">
        <v>5974</v>
      </c>
      <c r="B920" s="12" t="str">
        <f>IFERROR(INDEX(Mots!$B:$B,MATCH($A920,Mots!$A:$A,0)),"introuvable")</f>
        <v>le miel</v>
      </c>
      <c r="C920" s="15" t="s">
        <v>7740</v>
      </c>
      <c r="I920" s="15" t="s">
        <v>702</v>
      </c>
      <c r="N920" s="15" t="s">
        <v>7711</v>
      </c>
    </row>
    <row r="921" spans="1:15" x14ac:dyDescent="0.3">
      <c r="A921" s="15" t="s">
        <v>5983</v>
      </c>
      <c r="B921" s="12" t="str">
        <f>IFERROR(INDEX(Mots!$B:$B,MATCH($A921,Mots!$A:$A,0)),"introuvable")</f>
        <v>le moment</v>
      </c>
      <c r="G921" s="15" t="s">
        <v>7799</v>
      </c>
    </row>
    <row r="922" spans="1:15" x14ac:dyDescent="0.3">
      <c r="A922" s="15" t="s">
        <v>5996</v>
      </c>
      <c r="B922" s="12" t="str">
        <f>IFERROR(INDEX(Mots!$B:$B,MATCH($A922,Mots!$A:$A,0)),"introuvable")</f>
        <v>le moteur</v>
      </c>
      <c r="C922" s="15" t="s">
        <v>7733</v>
      </c>
      <c r="I922" s="15" t="s">
        <v>2846</v>
      </c>
      <c r="N922" s="15" t="s">
        <v>7720</v>
      </c>
      <c r="O922" s="15" t="s">
        <v>7752</v>
      </c>
    </row>
    <row r="923" spans="1:15" x14ac:dyDescent="0.3">
      <c r="A923" s="15" t="s">
        <v>6004</v>
      </c>
      <c r="B923" s="12" t="str">
        <f>IFERROR(INDEX(Mots!$B:$B,MATCH($A923,Mots!$A:$A,0)),"introuvable")</f>
        <v>le mouvement</v>
      </c>
      <c r="I923" s="15" t="s">
        <v>3780</v>
      </c>
      <c r="N923" s="15" t="s">
        <v>7720</v>
      </c>
    </row>
    <row r="924" spans="1:15" x14ac:dyDescent="0.3">
      <c r="A924" s="15" t="s">
        <v>6016</v>
      </c>
      <c r="B924" s="12" t="str">
        <f>IFERROR(INDEX(Mots!$B:$B,MATCH($A924,Mots!$A:$A,0)),"introuvable")</f>
        <v>le niveau</v>
      </c>
      <c r="C924" s="15" t="s">
        <v>5288</v>
      </c>
    </row>
    <row r="925" spans="1:15" x14ac:dyDescent="0.3">
      <c r="A925" s="15" t="s">
        <v>6023</v>
      </c>
      <c r="B925" s="12" t="str">
        <f>IFERROR(INDEX(Mots!$B:$B,MATCH($A925,Mots!$A:$A,0)),"introuvable")</f>
        <v>le nombre</v>
      </c>
      <c r="I925" s="15" t="s">
        <v>73</v>
      </c>
      <c r="N925" s="15" t="s">
        <v>7027</v>
      </c>
    </row>
    <row r="926" spans="1:15" x14ac:dyDescent="0.3">
      <c r="A926" s="15" t="s">
        <v>6027</v>
      </c>
      <c r="B926" s="12" t="str">
        <f>IFERROR(INDEX(Mots!$B:$B,MATCH($A926,Mots!$A:$A,0)),"introuvable")</f>
        <v>le noyau</v>
      </c>
      <c r="C926" s="15" t="s">
        <v>7740</v>
      </c>
      <c r="I926" s="15" t="s">
        <v>702</v>
      </c>
    </row>
    <row r="927" spans="1:15" x14ac:dyDescent="0.3">
      <c r="A927" s="15" t="s">
        <v>6035</v>
      </c>
      <c r="B927" s="12" t="str">
        <f>IFERROR(INDEX(Mots!$B:$B,MATCH($A927,Mots!$A:$A,0)),"introuvable")</f>
        <v>le nuage</v>
      </c>
      <c r="I927" s="15" t="s">
        <v>3780</v>
      </c>
    </row>
    <row r="928" spans="1:15" x14ac:dyDescent="0.3">
      <c r="A928" s="15" t="s">
        <v>6047</v>
      </c>
      <c r="B928" s="12" t="str">
        <f>IFERROR(INDEX(Mots!$B:$B,MATCH($A928,Mots!$A:$A,0)),"introuvable")</f>
        <v>le panier</v>
      </c>
      <c r="C928" s="15" t="s">
        <v>7740</v>
      </c>
      <c r="I928" s="15" t="s">
        <v>702</v>
      </c>
      <c r="J928" s="15" t="s">
        <v>34</v>
      </c>
    </row>
    <row r="929" spans="1:26" x14ac:dyDescent="0.3">
      <c r="A929" s="15" t="s">
        <v>6059</v>
      </c>
      <c r="B929" s="12" t="str">
        <f>IFERROR(INDEX(Mots!$B:$B,MATCH($A929,Mots!$A:$A,0)),"introuvable")</f>
        <v>le pansement</v>
      </c>
      <c r="I929" s="15" t="s">
        <v>5057</v>
      </c>
      <c r="N929" s="15" t="s">
        <v>7718</v>
      </c>
    </row>
    <row r="930" spans="1:26" x14ac:dyDescent="0.3">
      <c r="A930" s="15" t="s">
        <v>6075</v>
      </c>
      <c r="B930" s="12" t="str">
        <f>IFERROR(INDEX(Mots!$B:$B,MATCH($A930,Mots!$A:$A,0)),"introuvable")</f>
        <v>le parapluie</v>
      </c>
      <c r="C930" s="15" t="s">
        <v>6831</v>
      </c>
      <c r="I930" s="15" t="s">
        <v>3780</v>
      </c>
      <c r="N930" s="15" t="s">
        <v>3435</v>
      </c>
    </row>
    <row r="931" spans="1:26" x14ac:dyDescent="0.3">
      <c r="A931" s="15" t="s">
        <v>6083</v>
      </c>
      <c r="B931" s="12" t="str">
        <f>IFERROR(INDEX(Mots!$B:$B,MATCH($A931,Mots!$A:$A,0)),"introuvable")</f>
        <v>le parking</v>
      </c>
      <c r="I931" s="15" t="s">
        <v>82</v>
      </c>
      <c r="J931" s="15" t="s">
        <v>2846</v>
      </c>
    </row>
    <row r="932" spans="1:26" x14ac:dyDescent="0.3">
      <c r="A932" s="15" t="s">
        <v>6091</v>
      </c>
      <c r="B932" s="12" t="str">
        <f>IFERROR(INDEX(Mots!$B:$B,MATCH($A932,Mots!$A:$A,0)),"introuvable")</f>
        <v>partager</v>
      </c>
      <c r="N932" s="15" t="s">
        <v>7757</v>
      </c>
    </row>
    <row r="933" spans="1:26" x14ac:dyDescent="0.3">
      <c r="A933" s="15" t="s">
        <v>6104</v>
      </c>
      <c r="B933" s="12" t="str">
        <f>IFERROR(INDEX(Mots!$B:$B,MATCH($A933,Mots!$A:$A,0)),"introuvable")</f>
        <v>le pays</v>
      </c>
      <c r="N933" s="15" t="s">
        <v>7716</v>
      </c>
    </row>
    <row r="934" spans="1:26" x14ac:dyDescent="0.3">
      <c r="A934" s="15" t="s">
        <v>6112</v>
      </c>
      <c r="B934" s="12" t="str">
        <f>IFERROR(INDEX(Mots!$B:$B,MATCH($A934,Mots!$A:$A,0)),"introuvable")</f>
        <v>le paysage</v>
      </c>
      <c r="I934" s="15" t="s">
        <v>3780</v>
      </c>
    </row>
    <row r="935" spans="1:26" x14ac:dyDescent="0.3">
      <c r="A935" s="15" t="s">
        <v>6116</v>
      </c>
      <c r="B935" s="12" t="str">
        <f>IFERROR(INDEX(Mots!$B:$B,MATCH($A935,Mots!$A:$A,0)),"introuvable")</f>
        <v>le permis</v>
      </c>
      <c r="I935" s="15" t="s">
        <v>2846</v>
      </c>
      <c r="N935" s="15" t="s">
        <v>7720</v>
      </c>
    </row>
    <row r="936" spans="1:26" x14ac:dyDescent="0.3">
      <c r="A936" s="15" t="s">
        <v>6123</v>
      </c>
      <c r="B936" s="12" t="str">
        <f>IFERROR(INDEX(Mots!$B:$B,MATCH($A936,Mots!$A:$A,0)),"introuvable")</f>
        <v>le pharmacien</v>
      </c>
      <c r="W936" s="15" t="s">
        <v>5057</v>
      </c>
    </row>
    <row r="937" spans="1:26" x14ac:dyDescent="0.3">
      <c r="A937" s="15" t="s">
        <v>6127</v>
      </c>
      <c r="B937" s="12" t="str">
        <f>IFERROR(INDEX(Mots!$B:$B,MATCH($A937,Mots!$A:$A,0)),"introuvable")</f>
        <v>le piment</v>
      </c>
      <c r="C937" s="15" t="s">
        <v>7740</v>
      </c>
      <c r="I937" s="15" t="s">
        <v>702</v>
      </c>
    </row>
    <row r="938" spans="1:26" x14ac:dyDescent="0.3">
      <c r="A938" s="15" t="s">
        <v>6134</v>
      </c>
      <c r="B938" s="12" t="str">
        <f>IFERROR(INDEX(Mots!$B:$B,MATCH($A938,Mots!$A:$A,0)),"introuvable")</f>
        <v>le pinceau</v>
      </c>
      <c r="C938" s="15" t="s">
        <v>6831</v>
      </c>
    </row>
    <row r="939" spans="1:26" x14ac:dyDescent="0.3">
      <c r="A939" s="15" t="s">
        <v>6142</v>
      </c>
      <c r="B939" s="12" t="str">
        <f>IFERROR(INDEX(Mots!$B:$B,MATCH($A939,Mots!$A:$A,0)),"introuvable")</f>
        <v>le pique-nique</v>
      </c>
      <c r="I939" s="15" t="s">
        <v>702</v>
      </c>
      <c r="J939" s="15" t="s">
        <v>3780</v>
      </c>
      <c r="N939" s="15" t="s">
        <v>7711</v>
      </c>
    </row>
    <row r="940" spans="1:26" x14ac:dyDescent="0.3">
      <c r="A940" s="15" t="s">
        <v>6150</v>
      </c>
      <c r="B940" s="12" t="str">
        <f>IFERROR(INDEX(Mots!$B:$B,MATCH($A940,Mots!$A:$A,0)),"introuvable")</f>
        <v>le plafond</v>
      </c>
      <c r="I940" s="15" t="s">
        <v>34</v>
      </c>
    </row>
    <row r="941" spans="1:26" x14ac:dyDescent="0.3">
      <c r="A941" s="15" t="s">
        <v>6156</v>
      </c>
      <c r="B941" s="12" t="str">
        <f>IFERROR(INDEX(Mots!$B:$B,MATCH($A941,Mots!$A:$A,0)),"introuvable")</f>
        <v>le plaisir</v>
      </c>
      <c r="Z941" s="15" t="s">
        <v>7788</v>
      </c>
    </row>
    <row r="942" spans="1:26" x14ac:dyDescent="0.3">
      <c r="A942" s="15" t="s">
        <v>6160</v>
      </c>
      <c r="B942" s="12" t="str">
        <f>IFERROR(INDEX(Mots!$B:$B,MATCH($A942,Mots!$A:$A,0)),"introuvable")</f>
        <v>le plancher</v>
      </c>
      <c r="C942" s="15" t="s">
        <v>4645</v>
      </c>
      <c r="I942" s="15" t="s">
        <v>34</v>
      </c>
    </row>
    <row r="943" spans="1:26" x14ac:dyDescent="0.3">
      <c r="A943" s="15" t="s">
        <v>6168</v>
      </c>
      <c r="B943" s="12" t="str">
        <f>IFERROR(INDEX(Mots!$B:$B,MATCH($A943,Mots!$A:$A,0)),"introuvable")</f>
        <v>le plastique</v>
      </c>
      <c r="C943" s="15" t="s">
        <v>4645</v>
      </c>
    </row>
    <row r="944" spans="1:26" x14ac:dyDescent="0.3">
      <c r="A944" s="15" t="s">
        <v>6172</v>
      </c>
      <c r="B944" s="12" t="str">
        <f>IFERROR(INDEX(Mots!$B:$B,MATCH($A944,Mots!$A:$A,0)),"introuvable")</f>
        <v>le plat</v>
      </c>
      <c r="C944" s="15" t="s">
        <v>7740</v>
      </c>
      <c r="I944" s="15" t="s">
        <v>702</v>
      </c>
      <c r="N944" s="15" t="s">
        <v>7713</v>
      </c>
    </row>
    <row r="945" spans="1:14" x14ac:dyDescent="0.3">
      <c r="A945" s="15" t="s">
        <v>6186</v>
      </c>
      <c r="B945" s="12" t="str">
        <f>IFERROR(INDEX(Mots!$B:$B,MATCH($A945,Mots!$A:$A,0)),"introuvable")</f>
        <v>le portefeuille</v>
      </c>
      <c r="C945" s="15" t="s">
        <v>828</v>
      </c>
      <c r="I945" s="15" t="s">
        <v>34</v>
      </c>
    </row>
    <row r="946" spans="1:14" x14ac:dyDescent="0.3">
      <c r="A946" s="15" t="s">
        <v>6190</v>
      </c>
      <c r="B946" s="12" t="str">
        <f>IFERROR(INDEX(Mots!$B:$B,MATCH($A946,Mots!$A:$A,0)),"introuvable")</f>
        <v>le porte-manteau</v>
      </c>
      <c r="C946" s="15" t="s">
        <v>6831</v>
      </c>
      <c r="I946" s="15" t="s">
        <v>34</v>
      </c>
      <c r="N946" s="15" t="s">
        <v>7716</v>
      </c>
    </row>
    <row r="947" spans="1:14" x14ac:dyDescent="0.3">
      <c r="A947" s="15" t="s">
        <v>6210</v>
      </c>
      <c r="B947" s="12" t="str">
        <f>IFERROR(INDEX(Mots!$B:$B,MATCH($A947,Mots!$A:$A,0)),"introuvable")</f>
        <v>le quartier</v>
      </c>
      <c r="I947" s="15" t="s">
        <v>82</v>
      </c>
    </row>
    <row r="948" spans="1:14" x14ac:dyDescent="0.3">
      <c r="A948" s="15" t="s">
        <v>6216</v>
      </c>
      <c r="B948" s="12" t="str">
        <f>IFERROR(INDEX(Mots!$B:$B,MATCH($A948,Mots!$A:$A,0)),"introuvable")</f>
        <v>le récipient</v>
      </c>
      <c r="C948" s="15" t="s">
        <v>6216</v>
      </c>
      <c r="I948" s="15" t="s">
        <v>702</v>
      </c>
    </row>
    <row r="949" spans="1:14" x14ac:dyDescent="0.3">
      <c r="A949" s="15" t="s">
        <v>6233</v>
      </c>
      <c r="B949" s="12" t="str">
        <f>IFERROR(INDEX(Mots!$B:$B,MATCH($A949,Mots!$A:$A,0)),"introuvable")</f>
        <v>le reflet</v>
      </c>
      <c r="I949" s="15" t="s">
        <v>2762</v>
      </c>
    </row>
    <row r="950" spans="1:14" x14ac:dyDescent="0.3">
      <c r="A950" s="15" t="s">
        <v>6249</v>
      </c>
      <c r="B950" s="12" t="str">
        <f>IFERROR(INDEX(Mots!$B:$B,MATCH($A950,Mots!$A:$A,0)),"introuvable")</f>
        <v>le remède</v>
      </c>
      <c r="I950" s="15" t="s">
        <v>5057</v>
      </c>
      <c r="N950" s="15" t="s">
        <v>7718</v>
      </c>
    </row>
    <row r="951" spans="1:14" x14ac:dyDescent="0.3">
      <c r="A951" s="15" t="s">
        <v>6252</v>
      </c>
      <c r="B951" s="12" t="str">
        <f>IFERROR(INDEX(Mots!$B:$B,MATCH($A951,Mots!$A:$A,0)),"introuvable")</f>
        <v>le repas</v>
      </c>
      <c r="C951" s="15" t="s">
        <v>7740</v>
      </c>
      <c r="I951" s="15" t="s">
        <v>702</v>
      </c>
      <c r="N951" s="15" t="s">
        <v>7711</v>
      </c>
    </row>
    <row r="952" spans="1:14" x14ac:dyDescent="0.3">
      <c r="A952" s="15" t="s">
        <v>6256</v>
      </c>
      <c r="B952" s="12" t="str">
        <f>IFERROR(INDEX(Mots!$B:$B,MATCH($A952,Mots!$A:$A,0)),"introuvable")</f>
        <v>le repos</v>
      </c>
      <c r="G952" s="15" t="s">
        <v>7799</v>
      </c>
    </row>
    <row r="953" spans="1:14" x14ac:dyDescent="0.3">
      <c r="A953" s="15" t="s">
        <v>6273</v>
      </c>
      <c r="B953" s="12" t="str">
        <f>IFERROR(INDEX(Mots!$B:$B,MATCH($A953,Mots!$A:$A,0)),"introuvable")</f>
        <v>le rhume</v>
      </c>
      <c r="I953" s="15" t="s">
        <v>5057</v>
      </c>
    </row>
    <row r="954" spans="1:14" x14ac:dyDescent="0.3">
      <c r="A954" s="15" t="s">
        <v>6277</v>
      </c>
      <c r="B954" s="12" t="str">
        <f>IFERROR(INDEX(Mots!$B:$B,MATCH($A954,Mots!$A:$A,0)),"introuvable")</f>
        <v>le rideau</v>
      </c>
      <c r="C954" s="15" t="s">
        <v>4645</v>
      </c>
      <c r="I954" s="15" t="s">
        <v>3176</v>
      </c>
      <c r="N954" s="15" t="s">
        <v>7727</v>
      </c>
    </row>
    <row r="955" spans="1:14" x14ac:dyDescent="0.3">
      <c r="A955" s="15" t="s">
        <v>6285</v>
      </c>
      <c r="B955" s="12" t="str">
        <f>IFERROR(INDEX(Mots!$B:$B,MATCH($A955,Mots!$A:$A,0)),"introuvable")</f>
        <v>le ruban</v>
      </c>
      <c r="C955" s="15" t="s">
        <v>4645</v>
      </c>
      <c r="N955" s="15" t="s">
        <v>7716</v>
      </c>
    </row>
    <row r="956" spans="1:14" x14ac:dyDescent="0.3">
      <c r="A956" s="15" t="s">
        <v>6289</v>
      </c>
      <c r="B956" s="12" t="str">
        <f>IFERROR(INDEX(Mots!$B:$B,MATCH($A956,Mots!$A:$A,0)),"introuvable")</f>
        <v>le rythme</v>
      </c>
      <c r="I956" s="15" t="s">
        <v>7709</v>
      </c>
      <c r="N956" s="15" t="s">
        <v>7723</v>
      </c>
    </row>
    <row r="957" spans="1:14" x14ac:dyDescent="0.3">
      <c r="A957" s="15" t="s">
        <v>6306</v>
      </c>
      <c r="B957" s="12" t="str">
        <f>IFERROR(INDEX(Mots!$B:$B,MATCH($A957,Mots!$A:$A,0)),"introuvable")</f>
        <v>le sac</v>
      </c>
      <c r="C957" s="15" t="s">
        <v>6831</v>
      </c>
      <c r="I957" s="15" t="s">
        <v>34</v>
      </c>
    </row>
    <row r="958" spans="1:14" x14ac:dyDescent="0.3">
      <c r="A958" s="15" t="s">
        <v>6314</v>
      </c>
      <c r="B958" s="12" t="str">
        <f>IFERROR(INDEX(Mots!$B:$B,MATCH($A958,Mots!$A:$A,0)),"introuvable")</f>
        <v>le sac à dos</v>
      </c>
      <c r="C958" s="15" t="s">
        <v>7749</v>
      </c>
      <c r="I958" s="15" t="s">
        <v>34</v>
      </c>
    </row>
    <row r="959" spans="1:14" x14ac:dyDescent="0.3">
      <c r="A959" s="15" t="s">
        <v>6322</v>
      </c>
      <c r="B959" s="12" t="str">
        <f>IFERROR(INDEX(Mots!$B:$B,MATCH($A959,Mots!$A:$A,0)),"introuvable")</f>
        <v>le seau</v>
      </c>
      <c r="C959" s="15" t="s">
        <v>6216</v>
      </c>
      <c r="I959" s="15" t="s">
        <v>702</v>
      </c>
      <c r="J959" s="15" t="s">
        <v>34</v>
      </c>
    </row>
    <row r="960" spans="1:14" x14ac:dyDescent="0.3">
      <c r="A960" s="15" t="s">
        <v>6330</v>
      </c>
      <c r="B960" s="12" t="str">
        <f>IFERROR(INDEX(Mots!$B:$B,MATCH($A960,Mots!$A:$A,0)),"introuvable")</f>
        <v>le secours</v>
      </c>
      <c r="I960" s="15" t="s">
        <v>34</v>
      </c>
    </row>
    <row r="961" spans="1:15" x14ac:dyDescent="0.3">
      <c r="A961" s="15" t="s">
        <v>6343</v>
      </c>
      <c r="B961" s="12" t="str">
        <f>IFERROR(INDEX(Mots!$B:$B,MATCH($A961,Mots!$A:$A,0)),"introuvable")</f>
        <v>le sentier</v>
      </c>
      <c r="I961" s="15" t="s">
        <v>3780</v>
      </c>
      <c r="N961" s="15" t="s">
        <v>7725</v>
      </c>
    </row>
    <row r="962" spans="1:15" x14ac:dyDescent="0.3">
      <c r="A962" s="15" t="s">
        <v>6356</v>
      </c>
      <c r="B962" s="12" t="str">
        <f>IFERROR(INDEX(Mots!$B:$B,MATCH($A962,Mots!$A:$A,0)),"introuvable")</f>
        <v>le signe</v>
      </c>
      <c r="N962" s="15" t="s">
        <v>7752</v>
      </c>
    </row>
    <row r="963" spans="1:15" x14ac:dyDescent="0.3">
      <c r="A963" s="15" t="s">
        <v>6368</v>
      </c>
      <c r="B963" s="12" t="str">
        <f>IFERROR(INDEX(Mots!$B:$B,MATCH($A963,Mots!$A:$A,0)),"introuvable")</f>
        <v>soigner</v>
      </c>
      <c r="I963" s="15" t="s">
        <v>5057</v>
      </c>
      <c r="N963" s="15" t="s">
        <v>7718</v>
      </c>
      <c r="O963" s="15" t="s">
        <v>7757</v>
      </c>
    </row>
    <row r="964" spans="1:15" x14ac:dyDescent="0.3">
      <c r="A964" s="15" t="s">
        <v>6373</v>
      </c>
      <c r="B964" s="12" t="str">
        <f>IFERROR(INDEX(Mots!$B:$B,MATCH($A964,Mots!$A:$A,0)),"introuvable")</f>
        <v>le sol</v>
      </c>
      <c r="I964" s="15" t="s">
        <v>82</v>
      </c>
      <c r="N964" s="15" t="s">
        <v>7725</v>
      </c>
    </row>
    <row r="965" spans="1:15" x14ac:dyDescent="0.3">
      <c r="A965" s="15" t="s">
        <v>6377</v>
      </c>
      <c r="B965" s="12" t="str">
        <f>IFERROR(INDEX(Mots!$B:$B,MATCH($A965,Mots!$A:$A,0)),"introuvable")</f>
        <v>le sommeil</v>
      </c>
      <c r="I965" s="15" t="s">
        <v>3176</v>
      </c>
      <c r="N965" s="15" t="s">
        <v>7727</v>
      </c>
    </row>
    <row r="966" spans="1:15" x14ac:dyDescent="0.3">
      <c r="A966" s="15" t="s">
        <v>6385</v>
      </c>
      <c r="B966" s="12" t="str">
        <f>IFERROR(INDEX(Mots!$B:$B,MATCH($A966,Mots!$A:$A,0)),"introuvable")</f>
        <v>le souvenir</v>
      </c>
      <c r="G966" s="15" t="s">
        <v>7799</v>
      </c>
    </row>
    <row r="967" spans="1:15" x14ac:dyDescent="0.3">
      <c r="A967" s="15" t="s">
        <v>6404</v>
      </c>
      <c r="B967" s="12" t="str">
        <f>IFERROR(INDEX(Mots!$B:$B,MATCH($A967,Mots!$A:$A,0)),"introuvable")</f>
        <v>le stylo</v>
      </c>
      <c r="C967" s="15" t="s">
        <v>6831</v>
      </c>
    </row>
    <row r="968" spans="1:15" x14ac:dyDescent="0.3">
      <c r="A968" s="15" t="s">
        <v>6412</v>
      </c>
      <c r="B968" s="12" t="str">
        <f>IFERROR(INDEX(Mots!$B:$B,MATCH($A968,Mots!$A:$A,0)),"introuvable")</f>
        <v>le tableau</v>
      </c>
      <c r="I968" s="15" t="s">
        <v>702</v>
      </c>
    </row>
    <row r="969" spans="1:15" x14ac:dyDescent="0.3">
      <c r="A969" s="15" t="s">
        <v>6416</v>
      </c>
      <c r="B969" s="12" t="str">
        <f>IFERROR(INDEX(Mots!$B:$B,MATCH($A969,Mots!$A:$A,0)),"introuvable")</f>
        <v>le tablier</v>
      </c>
      <c r="C969" s="15" t="s">
        <v>6572</v>
      </c>
      <c r="N969" s="15" t="s">
        <v>7716</v>
      </c>
    </row>
    <row r="970" spans="1:15" x14ac:dyDescent="0.3">
      <c r="A970" s="15" t="s">
        <v>6432</v>
      </c>
      <c r="B970" s="12" t="str">
        <f>IFERROR(INDEX(Mots!$B:$B,MATCH($A970,Mots!$A:$A,0)),"introuvable")</f>
        <v>le terrain</v>
      </c>
      <c r="C970" s="15" t="s">
        <v>7740</v>
      </c>
      <c r="I970" s="15" t="s">
        <v>702</v>
      </c>
    </row>
    <row r="971" spans="1:15" x14ac:dyDescent="0.3">
      <c r="A971" s="15" t="s">
        <v>6440</v>
      </c>
      <c r="B971" s="12" t="str">
        <f>IFERROR(INDEX(Mots!$B:$B,MATCH($A971,Mots!$A:$A,0)),"introuvable")</f>
        <v>le territoire</v>
      </c>
      <c r="I971" s="15" t="s">
        <v>3780</v>
      </c>
    </row>
    <row r="972" spans="1:15" x14ac:dyDescent="0.3">
      <c r="A972" s="15" t="s">
        <v>6444</v>
      </c>
      <c r="B972" s="12" t="str">
        <f>IFERROR(INDEX(Mots!$B:$B,MATCH($A972,Mots!$A:$A,0)),"introuvable")</f>
        <v>le texte</v>
      </c>
      <c r="N972" s="15" t="s">
        <v>7752</v>
      </c>
    </row>
    <row r="973" spans="1:15" x14ac:dyDescent="0.3">
      <c r="A973" s="15" t="s">
        <v>6451</v>
      </c>
      <c r="B973" s="12" t="str">
        <f>IFERROR(INDEX(Mots!$B:$B,MATCH($A973,Mots!$A:$A,0)),"introuvable")</f>
        <v>le thermomètre</v>
      </c>
      <c r="C973" s="15" t="s">
        <v>6831</v>
      </c>
      <c r="G973" s="15" t="s">
        <v>7764</v>
      </c>
    </row>
    <row r="974" spans="1:15" x14ac:dyDescent="0.3">
      <c r="A974" s="15" t="s">
        <v>6467</v>
      </c>
      <c r="B974" s="12" t="str">
        <f>IFERROR(INDEX(Mots!$B:$B,MATCH($A974,Mots!$A:$A,0)),"introuvable")</f>
        <v>le tiroir</v>
      </c>
      <c r="C974" s="15" t="s">
        <v>828</v>
      </c>
      <c r="I974" s="15" t="s">
        <v>34</v>
      </c>
    </row>
    <row r="975" spans="1:15" x14ac:dyDescent="0.3">
      <c r="A975" s="15" t="s">
        <v>6475</v>
      </c>
      <c r="B975" s="12" t="str">
        <f>IFERROR(INDEX(Mots!$B:$B,MATCH($A975,Mots!$A:$A,0)),"introuvable")</f>
        <v>le tissu</v>
      </c>
      <c r="C975" s="15" t="s">
        <v>6572</v>
      </c>
      <c r="N975" s="15" t="s">
        <v>7716</v>
      </c>
    </row>
    <row r="976" spans="1:15" x14ac:dyDescent="0.3">
      <c r="A976" s="15" t="s">
        <v>6479</v>
      </c>
      <c r="B976" s="12" t="str">
        <f>IFERROR(INDEX(Mots!$B:$B,MATCH($A976,Mots!$A:$A,0)),"introuvable")</f>
        <v>le tonneau</v>
      </c>
      <c r="C976" s="15" t="s">
        <v>4645</v>
      </c>
    </row>
    <row r="977" spans="1:27" x14ac:dyDescent="0.3">
      <c r="A977" s="15" t="s">
        <v>6491</v>
      </c>
      <c r="B977" s="12" t="str">
        <f>IFERROR(INDEX(Mots!$B:$B,MATCH($A977,Mots!$A:$A,0)),"introuvable")</f>
        <v>le tournevis</v>
      </c>
      <c r="C977" s="15" t="s">
        <v>6884</v>
      </c>
      <c r="N977" s="15" t="s">
        <v>7729</v>
      </c>
    </row>
    <row r="978" spans="1:27" x14ac:dyDescent="0.3">
      <c r="A978" s="15" t="s">
        <v>73</v>
      </c>
      <c r="B978" s="12" t="str">
        <f>IFERROR(INDEX(Mots!$B:$B,MATCH($A978,Mots!$A:$A,0)),"introuvable")</f>
        <v>le travail</v>
      </c>
      <c r="I978" s="15" t="s">
        <v>73</v>
      </c>
    </row>
    <row r="979" spans="1:27" x14ac:dyDescent="0.3">
      <c r="A979" s="15" t="s">
        <v>9507</v>
      </c>
      <c r="B979" s="12" t="str">
        <f>IFERROR(INDEX(Mots!$B:$B,MATCH($A979,Mots!$A:$A,0)),"introuvable")</f>
        <v>le tronc</v>
      </c>
      <c r="C979" s="15" t="s">
        <v>2811</v>
      </c>
      <c r="E979" s="15" t="s">
        <v>2811</v>
      </c>
      <c r="I979" s="15" t="s">
        <v>34</v>
      </c>
      <c r="J979" s="15" t="s">
        <v>3780</v>
      </c>
    </row>
    <row r="980" spans="1:27" x14ac:dyDescent="0.3">
      <c r="A980" s="15" t="s">
        <v>6507</v>
      </c>
      <c r="B980" s="12" t="str">
        <f>IFERROR(INDEX(Mots!$B:$B,MATCH($A980,Mots!$A:$A,0)),"introuvable")</f>
        <v>le trottoir</v>
      </c>
      <c r="I980" s="15" t="s">
        <v>82</v>
      </c>
      <c r="N980" s="15" t="s">
        <v>7725</v>
      </c>
    </row>
    <row r="981" spans="1:27" x14ac:dyDescent="0.3">
      <c r="A981" s="15" t="s">
        <v>6527</v>
      </c>
      <c r="B981" s="12" t="str">
        <f>IFERROR(INDEX(Mots!$B:$B,MATCH($A981,Mots!$A:$A,0)),"introuvable")</f>
        <v>le tube</v>
      </c>
      <c r="C981" s="15" t="s">
        <v>6831</v>
      </c>
      <c r="I981" s="15" t="s">
        <v>2762</v>
      </c>
    </row>
    <row r="982" spans="1:27" x14ac:dyDescent="0.3">
      <c r="A982" s="15" t="s">
        <v>6548</v>
      </c>
      <c r="B982" s="12" t="str">
        <f>IFERROR(INDEX(Mots!$B:$B,MATCH($A982,Mots!$A:$A,0)),"introuvable")</f>
        <v>le vaccin</v>
      </c>
      <c r="I982" s="15" t="s">
        <v>5057</v>
      </c>
    </row>
    <row r="983" spans="1:27" x14ac:dyDescent="0.3">
      <c r="A983" s="15" t="s">
        <v>6555</v>
      </c>
      <c r="B983" s="12" t="str">
        <f>IFERROR(INDEX(Mots!$B:$B,MATCH($A983,Mots!$A:$A,0)),"introuvable")</f>
        <v>le velours</v>
      </c>
      <c r="C983" s="15" t="s">
        <v>4645</v>
      </c>
      <c r="I983" s="15" t="s">
        <v>2846</v>
      </c>
      <c r="N983" s="15" t="s">
        <v>7716</v>
      </c>
    </row>
    <row r="984" spans="1:27" x14ac:dyDescent="0.3">
      <c r="A984" s="15" t="s">
        <v>6560</v>
      </c>
      <c r="B984" s="12" t="str">
        <f>IFERROR(INDEX(Mots!$B:$B,MATCH($A984,Mots!$A:$A,0)),"introuvable")</f>
        <v>le vent</v>
      </c>
      <c r="I984" s="15" t="s">
        <v>3780</v>
      </c>
    </row>
    <row r="985" spans="1:27" x14ac:dyDescent="0.3">
      <c r="A985" s="15" t="s">
        <v>6568</v>
      </c>
      <c r="B985" s="12" t="str">
        <f>IFERROR(INDEX(Mots!$B:$B,MATCH($A985,Mots!$A:$A,0)),"introuvable")</f>
        <v>le verbe</v>
      </c>
      <c r="N985" s="15" t="s">
        <v>7752</v>
      </c>
    </row>
    <row r="986" spans="1:27" x14ac:dyDescent="0.3">
      <c r="A986" s="15" t="s">
        <v>6572</v>
      </c>
      <c r="B986" s="12" t="str">
        <f>IFERROR(INDEX(Mots!$B:$B,MATCH($A986,Mots!$A:$A,0)),"introuvable")</f>
        <v>le vêtement</v>
      </c>
      <c r="C986" s="15" t="s">
        <v>6572</v>
      </c>
      <c r="I986" s="15" t="s">
        <v>34</v>
      </c>
      <c r="N986" s="15" t="s">
        <v>7711</v>
      </c>
      <c r="O986" s="15" t="s">
        <v>7716</v>
      </c>
      <c r="P986" s="15" t="s">
        <v>3435</v>
      </c>
    </row>
    <row r="987" spans="1:27" x14ac:dyDescent="0.3">
      <c r="A987" s="15" t="s">
        <v>6576</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7788</v>
      </c>
      <c r="AA988" s="15" t="s">
        <v>7790</v>
      </c>
    </row>
    <row r="989" spans="1:27" x14ac:dyDescent="0.3">
      <c r="A989" s="15" t="s">
        <v>6591</v>
      </c>
      <c r="B989" s="12" t="str">
        <f>IFERROR(INDEX(Mots!$B:$B,MATCH($A989,Mots!$A:$A,0)),"introuvable")</f>
        <v>le voisin</v>
      </c>
      <c r="W989" s="15" t="s">
        <v>7785</v>
      </c>
    </row>
    <row r="990" spans="1:27" x14ac:dyDescent="0.3">
      <c r="A990" s="15" t="s">
        <v>6595</v>
      </c>
      <c r="B990" s="12" t="str">
        <f>IFERROR(INDEX(Mots!$B:$B,MATCH($A990,Mots!$A:$A,0)),"introuvable")</f>
        <v>le vol</v>
      </c>
      <c r="N990" s="15" t="s">
        <v>7757</v>
      </c>
    </row>
    <row r="991" spans="1:27" x14ac:dyDescent="0.3">
      <c r="A991" s="15" t="s">
        <v>6599</v>
      </c>
      <c r="B991" s="12" t="str">
        <f>IFERROR(INDEX(Mots!$B:$B,MATCH($A991,Mots!$A:$A,0)),"introuvable")</f>
        <v>le volume</v>
      </c>
      <c r="I991" s="15" t="s">
        <v>3780</v>
      </c>
    </row>
    <row r="992" spans="1:27" x14ac:dyDescent="0.3">
      <c r="A992" s="15" t="s">
        <v>6606</v>
      </c>
      <c r="B992" s="12" t="str">
        <f>IFERROR(INDEX(Mots!$B:$B,MATCH($A992,Mots!$A:$A,0)),"introuvable")</f>
        <v>l'échelle</v>
      </c>
      <c r="C992" s="15" t="s">
        <v>6831</v>
      </c>
    </row>
    <row r="993" spans="1:26" x14ac:dyDescent="0.3">
      <c r="A993" s="15" t="s">
        <v>6614</v>
      </c>
      <c r="B993" s="12" t="str">
        <f>IFERROR(INDEX(Mots!$B:$B,MATCH($A993,Mots!$A:$A,0)),"introuvable")</f>
        <v>l'éclair</v>
      </c>
      <c r="I993" s="15" t="s">
        <v>3780</v>
      </c>
    </row>
    <row r="994" spans="1:26" x14ac:dyDescent="0.3">
      <c r="A994" s="15" t="s">
        <v>6622</v>
      </c>
      <c r="B994" s="12" t="str">
        <f>IFERROR(INDEX(Mots!$B:$B,MATCH($A994,Mots!$A:$A,0)),"introuvable")</f>
        <v>l'école</v>
      </c>
      <c r="I994" s="15" t="s">
        <v>82</v>
      </c>
    </row>
    <row r="995" spans="1:26" x14ac:dyDescent="0.3">
      <c r="A995" s="15" t="s">
        <v>6630</v>
      </c>
      <c r="B995" s="12" t="str">
        <f>IFERROR(INDEX(Mots!$B:$B,MATCH($A995,Mots!$A:$A,0)),"introuvable")</f>
        <v>l'économie</v>
      </c>
      <c r="I995" s="15" t="s">
        <v>73</v>
      </c>
    </row>
    <row r="996" spans="1:26" x14ac:dyDescent="0.3">
      <c r="A996" s="15" t="s">
        <v>6634</v>
      </c>
      <c r="B996" s="12" t="str">
        <f>IFERROR(INDEX(Mots!$B:$B,MATCH($A996,Mots!$A:$A,0)),"introuvable")</f>
        <v>l'écorce</v>
      </c>
      <c r="C996" s="15" t="s">
        <v>2811</v>
      </c>
      <c r="E996" s="15" t="s">
        <v>2811</v>
      </c>
      <c r="I996" s="15" t="s">
        <v>3780</v>
      </c>
    </row>
    <row r="997" spans="1:26" x14ac:dyDescent="0.3">
      <c r="A997" s="15" t="s">
        <v>6656</v>
      </c>
      <c r="B997" s="12" t="str">
        <f>IFERROR(INDEX(Mots!$B:$B,MATCH($A997,Mots!$A:$A,0)),"introuvable")</f>
        <v>l'élève</v>
      </c>
      <c r="I997" s="15" t="s">
        <v>82</v>
      </c>
      <c r="N997" s="15" t="s">
        <v>7027</v>
      </c>
      <c r="O997" s="15" t="s">
        <v>7757</v>
      </c>
    </row>
    <row r="998" spans="1:26" x14ac:dyDescent="0.3">
      <c r="A998" s="15" t="s">
        <v>6668</v>
      </c>
      <c r="B998" s="12" t="str">
        <f>IFERROR(INDEX(Mots!$B:$B,MATCH($A998,Mots!$A:$A,0)),"introuvable")</f>
        <v>l'engin</v>
      </c>
      <c r="C998" s="15" t="s">
        <v>6884</v>
      </c>
      <c r="I998" s="15" t="s">
        <v>73</v>
      </c>
    </row>
    <row r="999" spans="1:26" x14ac:dyDescent="0.3">
      <c r="A999" s="15" t="s">
        <v>6674</v>
      </c>
      <c r="B999" s="12" t="str">
        <f>IFERROR(INDEX(Mots!$B:$B,MATCH($A999,Mots!$A:$A,0)),"introuvable")</f>
        <v>l'ennui</v>
      </c>
      <c r="Z999" s="15" t="s">
        <v>7790</v>
      </c>
    </row>
    <row r="1000" spans="1:26" x14ac:dyDescent="0.3">
      <c r="A1000" s="15" t="s">
        <v>6678</v>
      </c>
      <c r="B1000" s="12" t="str">
        <f>IFERROR(INDEX(Mots!$B:$B,MATCH($A1000,Mots!$A:$A,0)),"introuvable")</f>
        <v>l'entraide</v>
      </c>
      <c r="N1000" s="15" t="s">
        <v>3435</v>
      </c>
    </row>
    <row r="1001" spans="1:26" x14ac:dyDescent="0.3">
      <c r="A1001" s="15" t="s">
        <v>319</v>
      </c>
      <c r="B1001" s="12" t="str">
        <f>IFERROR(INDEX(Mots!$B:$B,MATCH($A1001,Mots!$A:$A,0)),"introuvable")</f>
        <v>l'entretien</v>
      </c>
      <c r="N1001" s="15" t="s">
        <v>7757</v>
      </c>
    </row>
    <row r="1002" spans="1:26" x14ac:dyDescent="0.3">
      <c r="A1002" s="15" t="s">
        <v>6684</v>
      </c>
      <c r="B1002" s="12" t="str">
        <f>IFERROR(INDEX(Mots!$B:$B,MATCH($A1002,Mots!$A:$A,0)),"introuvable")</f>
        <v>l'enveloppe</v>
      </c>
      <c r="I1002" s="15" t="s">
        <v>2846</v>
      </c>
    </row>
    <row r="1003" spans="1:26" x14ac:dyDescent="0.3">
      <c r="A1003" s="15" t="s">
        <v>6697</v>
      </c>
      <c r="B1003" s="12" t="str">
        <f>IFERROR(INDEX(Mots!$B:$B,MATCH($A1003,Mots!$A:$A,0)),"introuvable")</f>
        <v>l'environnement</v>
      </c>
      <c r="I1003" s="15" t="s">
        <v>3780</v>
      </c>
    </row>
    <row r="1004" spans="1:26" x14ac:dyDescent="0.3">
      <c r="A1004" s="15" t="s">
        <v>6706</v>
      </c>
      <c r="B1004" s="12" t="str">
        <f>IFERROR(INDEX(Mots!$B:$B,MATCH($A1004,Mots!$A:$A,0)),"introuvable")</f>
        <v>l'épice</v>
      </c>
      <c r="N1004" s="15" t="s">
        <v>7711</v>
      </c>
    </row>
    <row r="1005" spans="1:26" x14ac:dyDescent="0.3">
      <c r="A1005" s="15" t="s">
        <v>6712</v>
      </c>
      <c r="B1005" s="12" t="str">
        <f>IFERROR(INDEX(Mots!$B:$B,MATCH($A1005,Mots!$A:$A,0)),"introuvable")</f>
        <v>les ciseaux</v>
      </c>
      <c r="C1005" s="15" t="s">
        <v>6884</v>
      </c>
      <c r="I1005" s="15" t="s">
        <v>702</v>
      </c>
      <c r="N1005" s="15" t="s">
        <v>7713</v>
      </c>
    </row>
    <row r="1006" spans="1:26" x14ac:dyDescent="0.3">
      <c r="A1006" s="15" t="s">
        <v>6719</v>
      </c>
      <c r="B1006" s="12" t="str">
        <f>IFERROR(INDEX(Mots!$B:$B,MATCH($A1006,Mots!$A:$A,0)),"introuvable")</f>
        <v>les jumelles</v>
      </c>
      <c r="C1006" s="15" t="s">
        <v>6831</v>
      </c>
      <c r="I1006" s="15" t="s">
        <v>702</v>
      </c>
    </row>
    <row r="1007" spans="1:26" x14ac:dyDescent="0.3">
      <c r="A1007" s="15" t="s">
        <v>6727</v>
      </c>
      <c r="B1007" s="12" t="str">
        <f>IFERROR(INDEX(Mots!$B:$B,MATCH($A1007,Mots!$A:$A,0)),"introuvable")</f>
        <v>les lunettes</v>
      </c>
      <c r="I1007" s="15" t="s">
        <v>702</v>
      </c>
      <c r="J1007" s="15" t="s">
        <v>34</v>
      </c>
    </row>
    <row r="1008" spans="1:26" x14ac:dyDescent="0.3">
      <c r="A1008" s="15" t="s">
        <v>6731</v>
      </c>
      <c r="B1008" s="12" t="str">
        <f>IFERROR(INDEX(Mots!$B:$B,MATCH($A1008,Mots!$A:$A,0)),"introuvable")</f>
        <v>les vacances</v>
      </c>
      <c r="C1008" s="15" t="s">
        <v>7749</v>
      </c>
      <c r="I1008" s="15" t="s">
        <v>82</v>
      </c>
      <c r="J1008" s="15" t="s">
        <v>73</v>
      </c>
      <c r="N1008" s="15" t="s">
        <v>7727</v>
      </c>
    </row>
    <row r="1009" spans="1:26" x14ac:dyDescent="0.3">
      <c r="A1009" s="15" t="s">
        <v>6742</v>
      </c>
      <c r="B1009" s="12" t="str">
        <f>IFERROR(INDEX(Mots!$B:$B,MATCH($A1009,Mots!$A:$A,0)),"introuvable")</f>
        <v>l'étagère</v>
      </c>
      <c r="C1009" s="15" t="s">
        <v>6831</v>
      </c>
      <c r="I1009" s="15" t="s">
        <v>34</v>
      </c>
    </row>
    <row r="1010" spans="1:26" x14ac:dyDescent="0.3">
      <c r="A1010" s="15" t="s">
        <v>6750</v>
      </c>
      <c r="B1010" s="12" t="str">
        <f>IFERROR(INDEX(Mots!$B:$B,MATCH($A1010,Mots!$A:$A,0)),"introuvable")</f>
        <v>l'étoile</v>
      </c>
      <c r="I1010" s="15" t="s">
        <v>3780</v>
      </c>
    </row>
    <row r="1011" spans="1:26" x14ac:dyDescent="0.3">
      <c r="A1011" s="15" t="s">
        <v>6758</v>
      </c>
      <c r="B1011" s="12" t="str">
        <f>IFERROR(INDEX(Mots!$B:$B,MATCH($A1011,Mots!$A:$A,0)),"introuvable")</f>
        <v>lever</v>
      </c>
      <c r="I1011" s="15" t="s">
        <v>3780</v>
      </c>
      <c r="N1011" s="15" t="s">
        <v>7757</v>
      </c>
    </row>
    <row r="1012" spans="1:26" x14ac:dyDescent="0.3">
      <c r="A1012" s="15" t="s">
        <v>6767</v>
      </c>
      <c r="B1012" s="12" t="str">
        <f>IFERROR(INDEX(Mots!$B:$B,MATCH($A1012,Mots!$A:$A,0)),"introuvable")</f>
        <v>l'exemple</v>
      </c>
      <c r="N1012" s="15" t="s">
        <v>7027</v>
      </c>
      <c r="O1012" s="15" t="s">
        <v>7757</v>
      </c>
      <c r="P1012" s="15" t="s">
        <v>3435</v>
      </c>
    </row>
    <row r="1013" spans="1:26" x14ac:dyDescent="0.3">
      <c r="A1013" s="15" t="s">
        <v>6772</v>
      </c>
      <c r="B1013" s="12" t="str">
        <f>IFERROR(INDEX(Mots!$B:$B,MATCH($A1013,Mots!$A:$A,0)),"introuvable")</f>
        <v>l'histoire</v>
      </c>
      <c r="I1013" s="15" t="s">
        <v>3780</v>
      </c>
    </row>
    <row r="1014" spans="1:26" x14ac:dyDescent="0.3">
      <c r="A1014" s="15" t="s">
        <v>6777</v>
      </c>
      <c r="B1014" s="12" t="str">
        <f>IFERROR(INDEX(Mots!$B:$B,MATCH($A1014,Mots!$A:$A,0)),"introuvable")</f>
        <v>l'horizon</v>
      </c>
      <c r="I1014" s="15" t="s">
        <v>3780</v>
      </c>
    </row>
    <row r="1015" spans="1:26" x14ac:dyDescent="0.3">
      <c r="A1015" s="15" t="s">
        <v>6781</v>
      </c>
      <c r="B1015" s="12" t="str">
        <f>IFERROR(INDEX(Mots!$B:$B,MATCH($A1015,Mots!$A:$A,0)),"introuvable")</f>
        <v>l'idée</v>
      </c>
      <c r="N1015" s="15" t="s">
        <v>7027</v>
      </c>
    </row>
    <row r="1016" spans="1:26" x14ac:dyDescent="0.3">
      <c r="A1016" s="15" t="s">
        <v>6785</v>
      </c>
      <c r="B1016" s="12" t="str">
        <f>IFERROR(INDEX(Mots!$B:$B,MATCH($A1016,Mots!$A:$A,0)),"introuvable")</f>
        <v>l'île</v>
      </c>
      <c r="I1016" s="15" t="s">
        <v>3780</v>
      </c>
    </row>
    <row r="1017" spans="1:26" x14ac:dyDescent="0.3">
      <c r="A1017" s="15" t="s">
        <v>6792</v>
      </c>
      <c r="B1017" s="12" t="str">
        <f>IFERROR(INDEX(Mots!$B:$B,MATCH($A1017,Mots!$A:$A,0)),"introuvable")</f>
        <v>l'immeuble</v>
      </c>
      <c r="I1017" s="15" t="s">
        <v>34</v>
      </c>
      <c r="J1017" s="15" t="s">
        <v>82</v>
      </c>
    </row>
    <row r="1018" spans="1:26" x14ac:dyDescent="0.3">
      <c r="A1018" s="15" t="s">
        <v>6800</v>
      </c>
      <c r="B1018" s="12" t="str">
        <f>IFERROR(INDEX(Mots!$B:$B,MATCH($A1018,Mots!$A:$A,0)),"introuvable")</f>
        <v>l'information</v>
      </c>
      <c r="N1018" s="15" t="s">
        <v>7027</v>
      </c>
    </row>
    <row r="1019" spans="1:26" x14ac:dyDescent="0.3">
      <c r="A1019" s="15" t="s">
        <v>6804</v>
      </c>
      <c r="B1019" s="12" t="str">
        <f>IFERROR(INDEX(Mots!$B:$B,MATCH($A1019,Mots!$A:$A,0)),"introuvable")</f>
        <v>l'inquiétude</v>
      </c>
      <c r="Z1019" s="15" t="s">
        <v>7790</v>
      </c>
    </row>
    <row r="1020" spans="1:26" x14ac:dyDescent="0.3">
      <c r="A1020" s="15" t="s">
        <v>6811</v>
      </c>
      <c r="B1020" s="12" t="str">
        <f>IFERROR(INDEX(Mots!$B:$B,MATCH($A1020,Mots!$A:$A,0)),"introuvable")</f>
        <v>l'instant</v>
      </c>
      <c r="G1020" s="15" t="s">
        <v>7799</v>
      </c>
    </row>
    <row r="1021" spans="1:26" x14ac:dyDescent="0.3">
      <c r="A1021" s="15" t="s">
        <v>6816</v>
      </c>
      <c r="B1021" s="12" t="str">
        <f>IFERROR(INDEX(Mots!$B:$B,MATCH($A1021,Mots!$A:$A,0)),"introuvable")</f>
        <v>l'invitation</v>
      </c>
      <c r="N1021" s="15" t="s">
        <v>7752</v>
      </c>
    </row>
    <row r="1022" spans="1:26" x14ac:dyDescent="0.3">
      <c r="A1022" s="15" t="s">
        <v>6820</v>
      </c>
      <c r="B1022" s="12" t="str">
        <f>IFERROR(INDEX(Mots!$B:$B,MATCH($A1022,Mots!$A:$A,0)),"introuvable")</f>
        <v>l'invité</v>
      </c>
      <c r="I1022" s="15" t="s">
        <v>702</v>
      </c>
      <c r="N1022" s="15" t="s">
        <v>7711</v>
      </c>
    </row>
    <row r="1023" spans="1:26" x14ac:dyDescent="0.3">
      <c r="A1023" s="15" t="s">
        <v>6824</v>
      </c>
      <c r="B1023" s="12" t="str">
        <f>IFERROR(INDEX(Mots!$B:$B,MATCH($A1023,Mots!$A:$A,0)),"introuvable")</f>
        <v>lire</v>
      </c>
      <c r="N1023" s="15" t="s">
        <v>7752</v>
      </c>
      <c r="O1023" s="15" t="s">
        <v>7027</v>
      </c>
      <c r="P1023" s="15" t="s">
        <v>7757</v>
      </c>
    </row>
    <row r="1024" spans="1:26" x14ac:dyDescent="0.3">
      <c r="A1024" s="15" t="s">
        <v>6831</v>
      </c>
      <c r="B1024" s="12" t="str">
        <f>IFERROR(INDEX(Mots!$B:$B,MATCH($A1024,Mots!$A:$A,0)),"introuvable")</f>
        <v>l'objet</v>
      </c>
      <c r="C1024" s="15" t="s">
        <v>6831</v>
      </c>
      <c r="N1024" s="15" t="s">
        <v>7752</v>
      </c>
      <c r="O1024" s="15" t="s">
        <v>7757</v>
      </c>
    </row>
    <row r="1025" spans="1:19" x14ac:dyDescent="0.3">
      <c r="A1025" s="15" t="s">
        <v>6846</v>
      </c>
      <c r="B1025" s="12" t="str">
        <f>IFERROR(INDEX(Mots!$B:$B,MATCH($A1025,Mots!$A:$A,0)),"introuvable")</f>
        <v>l'oeuvre</v>
      </c>
      <c r="I1025" s="15" t="s">
        <v>702</v>
      </c>
    </row>
    <row r="1026" spans="1:19" x14ac:dyDescent="0.3">
      <c r="A1026" s="15" t="s">
        <v>6855</v>
      </c>
      <c r="B1026" s="12" t="str">
        <f>IFERROR(INDEX(Mots!$B:$B,MATCH($A1026,Mots!$A:$A,0)),"introuvable")</f>
        <v>loin</v>
      </c>
      <c r="G1026" s="15" t="s">
        <v>4365</v>
      </c>
    </row>
    <row r="1027" spans="1:19" x14ac:dyDescent="0.3">
      <c r="A1027" s="15" t="s">
        <v>6857</v>
      </c>
      <c r="B1027" s="12" t="str">
        <f>IFERROR(INDEX(Mots!$B:$B,MATCH($A1027,Mots!$A:$A,0)),"introuvable")</f>
        <v>l'oiseau</v>
      </c>
      <c r="C1027" s="15" t="s">
        <v>1169</v>
      </c>
      <c r="I1027" s="15" t="s">
        <v>3780</v>
      </c>
    </row>
    <row r="1028" spans="1:19" x14ac:dyDescent="0.3">
      <c r="A1028" s="15" t="s">
        <v>6865</v>
      </c>
      <c r="B1028" s="12" t="str">
        <f>IFERROR(INDEX(Mots!$B:$B,MATCH($A1028,Mots!$A:$A,0)),"introuvable")</f>
        <v>l'ombre</v>
      </c>
      <c r="I1028" s="15" t="s">
        <v>3780</v>
      </c>
    </row>
    <row r="1029" spans="1:19" x14ac:dyDescent="0.3">
      <c r="A1029" s="15" t="s">
        <v>6872</v>
      </c>
      <c r="B1029" s="12" t="str">
        <f>IFERROR(INDEX(Mots!$B:$B,MATCH($A1029,Mots!$A:$A,0)),"introuvable")</f>
        <v>longtemps</v>
      </c>
      <c r="G1029" s="15" t="s">
        <v>7799</v>
      </c>
    </row>
    <row r="1030" spans="1:19" x14ac:dyDescent="0.3">
      <c r="A1030" s="15" t="s">
        <v>6880</v>
      </c>
      <c r="B1030" s="12" t="str">
        <f>IFERROR(INDEX(Mots!$B:$B,MATCH($A1030,Mots!$A:$A,0)),"introuvable")</f>
        <v>l'ordonnance</v>
      </c>
      <c r="I1030" s="15" t="s">
        <v>5057</v>
      </c>
      <c r="N1030" s="15" t="s">
        <v>7718</v>
      </c>
      <c r="O1030" s="15" t="s">
        <v>7757</v>
      </c>
    </row>
    <row r="1031" spans="1:19" x14ac:dyDescent="0.3">
      <c r="A1031" s="15" t="s">
        <v>6884</v>
      </c>
      <c r="B1031" s="12" t="str">
        <f>IFERROR(INDEX(Mots!$B:$B,MATCH($A1031,Mots!$A:$A,0)),"introuvable")</f>
        <v>l'outil</v>
      </c>
      <c r="C1031" s="15" t="s">
        <v>6884</v>
      </c>
      <c r="I1031" s="15" t="s">
        <v>34</v>
      </c>
    </row>
    <row r="1032" spans="1:19" x14ac:dyDescent="0.3">
      <c r="A1032" s="15" t="s">
        <v>6898</v>
      </c>
      <c r="B1032" s="12" t="str">
        <f>IFERROR(INDEX(Mots!$B:$B,MATCH($A1032,Mots!$A:$A,0)),"introuvable")</f>
        <v>l'usine</v>
      </c>
      <c r="I1032" s="15" t="s">
        <v>82</v>
      </c>
    </row>
    <row r="1033" spans="1:19" x14ac:dyDescent="0.3">
      <c r="A1033" s="8" t="s">
        <v>9588</v>
      </c>
      <c r="B1033" s="12" t="str">
        <f>IFERROR(INDEX(Mots!$B:$B,MATCH($A1033,Mots!$A:$A,0)),"introuvable")</f>
        <v>mal</v>
      </c>
      <c r="G1033" s="15" t="s">
        <v>7805</v>
      </c>
    </row>
    <row r="1034" spans="1:19" x14ac:dyDescent="0.3">
      <c r="A1034" s="15" t="s">
        <v>6909</v>
      </c>
      <c r="B1034" s="12" t="str">
        <f>IFERROR(INDEX(Mots!$B:$B,MATCH($A1034,Mots!$A:$A,0)),"introuvable")</f>
        <v>malin</v>
      </c>
      <c r="S1034" s="15" t="s">
        <v>7770</v>
      </c>
    </row>
    <row r="1035" spans="1:19" x14ac:dyDescent="0.3">
      <c r="A1035" s="15" t="s">
        <v>6914</v>
      </c>
      <c r="B1035" s="12" t="str">
        <f>IFERROR(INDEX(Mots!$B:$B,MATCH($A1035,Mots!$A:$A,0)),"introuvable")</f>
        <v>manger</v>
      </c>
      <c r="I1035" s="15" t="s">
        <v>702</v>
      </c>
      <c r="N1035" s="15" t="s">
        <v>7711</v>
      </c>
    </row>
    <row r="1036" spans="1:19" x14ac:dyDescent="0.3">
      <c r="A1036" s="15" t="s">
        <v>6922</v>
      </c>
      <c r="B1036" s="12" t="str">
        <f>IFERROR(INDEX(Mots!$B:$B,MATCH($A1036,Mots!$A:$A,0)),"introuvable")</f>
        <v>marcher</v>
      </c>
      <c r="I1036" s="15" t="s">
        <v>82</v>
      </c>
      <c r="N1036" s="15" t="s">
        <v>7720</v>
      </c>
      <c r="O1036" s="15" t="s">
        <v>7725</v>
      </c>
    </row>
    <row r="1037" spans="1:19" x14ac:dyDescent="0.3">
      <c r="A1037" s="15" t="s">
        <v>6933</v>
      </c>
      <c r="B1037" s="12" t="str">
        <f>IFERROR(INDEX(Mots!$B:$B,MATCH($A1037,Mots!$A:$A,0)),"introuvable")</f>
        <v>mentir</v>
      </c>
      <c r="N1037" s="15" t="s">
        <v>7752</v>
      </c>
    </row>
    <row r="1038" spans="1:19" x14ac:dyDescent="0.3">
      <c r="A1038" s="15" t="s">
        <v>6936</v>
      </c>
      <c r="B1038" s="12" t="str">
        <f>IFERROR(INDEX(Mots!$B:$B,MATCH($A1038,Mots!$A:$A,0)),"introuvable")</f>
        <v>merveilleux</v>
      </c>
      <c r="S1038" s="15" t="s">
        <v>7772</v>
      </c>
    </row>
    <row r="1039" spans="1:19" x14ac:dyDescent="0.3">
      <c r="A1039" s="15" t="s">
        <v>6950</v>
      </c>
      <c r="B1039" s="12" t="str">
        <f>IFERROR(INDEX(Mots!$B:$B,MATCH($A1039,Mots!$A:$A,0)),"introuvable")</f>
        <v>nager</v>
      </c>
      <c r="I1039" s="15" t="s">
        <v>3780</v>
      </c>
      <c r="N1039" s="15" t="s">
        <v>7720</v>
      </c>
    </row>
    <row r="1040" spans="1:19" x14ac:dyDescent="0.3">
      <c r="A1040" s="15" t="s">
        <v>6958</v>
      </c>
      <c r="B1040" s="12" t="str">
        <f>IFERROR(INDEX(Mots!$B:$B,MATCH($A1040,Mots!$A:$A,0)),"introuvable")</f>
        <v>nettoyer</v>
      </c>
      <c r="N1040" s="15" t="s">
        <v>6959</v>
      </c>
      <c r="O1040" s="15" t="s">
        <v>7757</v>
      </c>
    </row>
    <row r="1041" spans="1:23" x14ac:dyDescent="0.3">
      <c r="A1041" s="15" t="s">
        <v>6966</v>
      </c>
      <c r="B1041" s="12" t="str">
        <f>IFERROR(INDEX(Mots!$B:$B,MATCH($A1041,Mots!$A:$A,0)),"introuvable")</f>
        <v>nombreux</v>
      </c>
      <c r="S1041" s="15" t="s">
        <v>7761</v>
      </c>
    </row>
    <row r="1042" spans="1:23" x14ac:dyDescent="0.3">
      <c r="A1042" s="15" t="s">
        <v>6977</v>
      </c>
      <c r="B1042" s="12" t="str">
        <f>IFERROR(INDEX(Mots!$B:$B,MATCH($A1042,Mots!$A:$A,0)),"introuvable")</f>
        <v>ordonner</v>
      </c>
      <c r="N1042" s="15" t="s">
        <v>7752</v>
      </c>
      <c r="O1042" s="15" t="s">
        <v>7757</v>
      </c>
    </row>
    <row r="1043" spans="1:23" x14ac:dyDescent="0.3">
      <c r="A1043" s="15" t="s">
        <v>6981</v>
      </c>
      <c r="B1043" s="12" t="str">
        <f>IFERROR(INDEX(Mots!$B:$B,MATCH($A1043,Mots!$A:$A,0)),"introuvable")</f>
        <v>oublier</v>
      </c>
      <c r="N1043" s="15" t="s">
        <v>7027</v>
      </c>
    </row>
    <row r="1044" spans="1:23" x14ac:dyDescent="0.3">
      <c r="A1044" s="15" t="s">
        <v>6985</v>
      </c>
      <c r="B1044" s="12" t="str">
        <f>IFERROR(INDEX(Mots!$B:$B,MATCH($A1044,Mots!$A:$A,0)),"introuvable")</f>
        <v>ouvrir</v>
      </c>
      <c r="I1044" s="15" t="s">
        <v>34</v>
      </c>
    </row>
    <row r="1045" spans="1:23" x14ac:dyDescent="0.3">
      <c r="A1045" s="15" t="s">
        <v>6994</v>
      </c>
      <c r="B1045" s="12" t="str">
        <f>IFERROR(INDEX(Mots!$B:$B,MATCH($A1045,Mots!$A:$A,0)),"introuvable")</f>
        <v>parler</v>
      </c>
      <c r="N1045" s="15" t="s">
        <v>7752</v>
      </c>
    </row>
    <row r="1046" spans="1:23" x14ac:dyDescent="0.3">
      <c r="A1046" s="15" t="s">
        <v>7003</v>
      </c>
      <c r="B1046" s="12" t="str">
        <f>IFERROR(INDEX(Mots!$B:$B,MATCH($A1046,Mots!$A:$A,0)),"introuvable")</f>
        <v>partir</v>
      </c>
      <c r="N1046" s="15" t="s">
        <v>7720</v>
      </c>
    </row>
    <row r="1047" spans="1:23" x14ac:dyDescent="0.3">
      <c r="A1047" s="15" t="s">
        <v>7011</v>
      </c>
      <c r="B1047" s="12" t="str">
        <f>IFERROR(INDEX(Mots!$B:$B,MATCH($A1047,Mots!$A:$A,0)),"introuvable")</f>
        <v>partout</v>
      </c>
      <c r="S1047" s="15" t="s">
        <v>4445</v>
      </c>
    </row>
    <row r="1048" spans="1:23" x14ac:dyDescent="0.3">
      <c r="A1048" s="15" t="s">
        <v>7014</v>
      </c>
      <c r="B1048" s="12" t="str">
        <f>IFERROR(INDEX(Mots!$B:$B,MATCH($A1048,Mots!$A:$A,0)),"introuvable")</f>
        <v>payer</v>
      </c>
      <c r="I1048" s="15" t="s">
        <v>73</v>
      </c>
      <c r="N1048" s="15" t="s">
        <v>7375</v>
      </c>
      <c r="O1048" s="15" t="s">
        <v>7757</v>
      </c>
    </row>
    <row r="1049" spans="1:23" x14ac:dyDescent="0.3">
      <c r="A1049" s="15" t="s">
        <v>7026</v>
      </c>
      <c r="B1049" s="12" t="str">
        <f>IFERROR(INDEX(Mots!$B:$B,MATCH($A1049,Mots!$A:$A,0)),"introuvable")</f>
        <v>penser</v>
      </c>
      <c r="N1049" s="15" t="s">
        <v>7027</v>
      </c>
    </row>
    <row r="1050" spans="1:23" x14ac:dyDescent="0.3">
      <c r="A1050" s="15" t="s">
        <v>7030</v>
      </c>
      <c r="B1050" s="12" t="str">
        <f>IFERROR(INDEX(Mots!$B:$B,MATCH($A1050,Mots!$A:$A,0)),"introuvable")</f>
        <v>perdre</v>
      </c>
      <c r="N1050" s="15" t="s">
        <v>7027</v>
      </c>
    </row>
    <row r="1051" spans="1:23" x14ac:dyDescent="0.3">
      <c r="A1051" s="15" t="s">
        <v>7033</v>
      </c>
      <c r="B1051" s="12" t="str">
        <f>IFERROR(INDEX(Mots!$B:$B,MATCH($A1051,Mots!$A:$A,0)),"introuvable")</f>
        <v>peu</v>
      </c>
      <c r="G1051" s="15" t="s">
        <v>4956</v>
      </c>
    </row>
    <row r="1052" spans="1:23" x14ac:dyDescent="0.3">
      <c r="A1052" s="15" t="s">
        <v>7035</v>
      </c>
      <c r="B1052" s="12" t="str">
        <f>IFERROR(INDEX(Mots!$B:$B,MATCH($A1052,Mots!$A:$A,0)),"introuvable")</f>
        <v>Philippe Germanier</v>
      </c>
      <c r="W1052" s="15" t="s">
        <v>7782</v>
      </c>
    </row>
    <row r="1053" spans="1:23" x14ac:dyDescent="0.3">
      <c r="A1053" s="15" t="s">
        <v>7039</v>
      </c>
      <c r="B1053" s="12" t="str">
        <f>IFERROR(INDEX(Mots!$B:$B,MATCH($A1053,Mots!$A:$A,0)),"introuvable")</f>
        <v>piquant</v>
      </c>
      <c r="S1053" s="15" t="s">
        <v>7359</v>
      </c>
      <c r="T1053" s="15" t="s">
        <v>5843</v>
      </c>
    </row>
    <row r="1054" spans="1:23" x14ac:dyDescent="0.3">
      <c r="A1054" s="15" t="s">
        <v>7042</v>
      </c>
      <c r="B1054" s="12" t="str">
        <f>IFERROR(INDEX(Mots!$B:$B,MATCH($A1054,Mots!$A:$A,0)),"introuvable")</f>
        <v>plaindre</v>
      </c>
      <c r="N1054" s="15" t="s">
        <v>7752</v>
      </c>
    </row>
    <row r="1055" spans="1:23" x14ac:dyDescent="0.3">
      <c r="A1055" s="15" t="s">
        <v>9710</v>
      </c>
      <c r="B1055" s="12" t="str">
        <f>IFERROR(INDEX(Mots!$B:$B,MATCH($A1055,Mots!$A:$A,0)),"introuvable")</f>
        <v>plutôt</v>
      </c>
      <c r="G1055" s="15" t="s">
        <v>7799</v>
      </c>
    </row>
    <row r="1056" spans="1:23" x14ac:dyDescent="0.3">
      <c r="A1056" s="15" t="s">
        <v>7056</v>
      </c>
      <c r="B1056" s="12" t="str">
        <f>IFERROR(INDEX(Mots!$B:$B,MATCH($A1056,Mots!$A:$A,0)),"introuvable")</f>
        <v>porter</v>
      </c>
      <c r="I1056" s="15" t="s">
        <v>34</v>
      </c>
      <c r="N1056" s="15" t="s">
        <v>7720</v>
      </c>
    </row>
    <row r="1057" spans="1:20" x14ac:dyDescent="0.3">
      <c r="A1057" s="15" t="s">
        <v>7075</v>
      </c>
      <c r="B1057" s="12" t="str">
        <f>IFERROR(INDEX(Mots!$B:$B,MATCH($A1057,Mots!$A:$A,0)),"introuvable")</f>
        <v>pourtant</v>
      </c>
      <c r="G1057" s="15" t="s">
        <v>7805</v>
      </c>
    </row>
    <row r="1058" spans="1:20" x14ac:dyDescent="0.3">
      <c r="A1058" s="15" t="s">
        <v>7077</v>
      </c>
      <c r="B1058" s="12" t="str">
        <f>IFERROR(INDEX(Mots!$B:$B,MATCH($A1058,Mots!$A:$A,0)),"introuvable")</f>
        <v>pousser</v>
      </c>
      <c r="N1058" s="15" t="s">
        <v>7720</v>
      </c>
    </row>
    <row r="1059" spans="1:20" x14ac:dyDescent="0.3">
      <c r="A1059" s="15" t="s">
        <v>7090</v>
      </c>
      <c r="B1059" s="12" t="str">
        <f>IFERROR(INDEX(Mots!$B:$B,MATCH($A1059,Mots!$A:$A,0)),"introuvable")</f>
        <v>pratique</v>
      </c>
      <c r="S1059" s="15" t="s">
        <v>7774</v>
      </c>
    </row>
    <row r="1060" spans="1:20" x14ac:dyDescent="0.3">
      <c r="A1060" s="15" t="s">
        <v>7100</v>
      </c>
      <c r="B1060" s="12" t="str">
        <f>IFERROR(INDEX(Mots!$B:$B,MATCH($A1060,Mots!$A:$A,0)),"introuvable")</f>
        <v>prendre</v>
      </c>
      <c r="I1060" s="15" t="s">
        <v>702</v>
      </c>
      <c r="N1060" s="15" t="s">
        <v>7711</v>
      </c>
      <c r="O1060" s="15" t="s">
        <v>7757</v>
      </c>
    </row>
    <row r="1061" spans="1:20" x14ac:dyDescent="0.3">
      <c r="A1061" s="15" t="s">
        <v>7107</v>
      </c>
      <c r="B1061" s="12" t="str">
        <f>IFERROR(INDEX(Mots!$B:$B,MATCH($A1061,Mots!$A:$A,0)),"introuvable")</f>
        <v>préparer</v>
      </c>
      <c r="I1061" s="15" t="s">
        <v>702</v>
      </c>
      <c r="N1061" s="15" t="s">
        <v>7711</v>
      </c>
      <c r="O1061" s="15" t="s">
        <v>7729</v>
      </c>
    </row>
    <row r="1062" spans="1:20" x14ac:dyDescent="0.3">
      <c r="A1062" s="15" t="s">
        <v>7114</v>
      </c>
      <c r="B1062" s="12" t="str">
        <f>IFERROR(INDEX(Mots!$B:$B,MATCH($A1062,Mots!$A:$A,0)),"introuvable")</f>
        <v>près (proche)</v>
      </c>
      <c r="G1062" s="15" t="s">
        <v>4365</v>
      </c>
    </row>
    <row r="1063" spans="1:20" x14ac:dyDescent="0.3">
      <c r="A1063" s="15" t="s">
        <v>7117</v>
      </c>
      <c r="B1063" s="12" t="str">
        <f>IFERROR(INDEX(Mots!$B:$B,MATCH($A1063,Mots!$A:$A,0)),"introuvable")</f>
        <v>presque</v>
      </c>
      <c r="G1063" s="15" t="s">
        <v>4365</v>
      </c>
    </row>
    <row r="1064" spans="1:20" x14ac:dyDescent="0.3">
      <c r="A1064" s="15" t="s">
        <v>7119</v>
      </c>
      <c r="B1064" s="12" t="str">
        <f>IFERROR(INDEX(Mots!$B:$B,MATCH($A1064,Mots!$A:$A,0)),"introuvable")</f>
        <v>prêt</v>
      </c>
      <c r="S1064" s="15" t="s">
        <v>7770</v>
      </c>
    </row>
    <row r="1065" spans="1:20" x14ac:dyDescent="0.3">
      <c r="A1065" s="15" t="s">
        <v>7123</v>
      </c>
      <c r="B1065" s="12" t="str">
        <f>IFERROR(INDEX(Mots!$B:$B,MATCH($A1065,Mots!$A:$A,0)),"introuvable")</f>
        <v>prévenir</v>
      </c>
      <c r="N1065" s="15" t="s">
        <v>7752</v>
      </c>
    </row>
    <row r="1066" spans="1:20" x14ac:dyDescent="0.3">
      <c r="A1066" s="15" t="s">
        <v>7127</v>
      </c>
      <c r="B1066" s="12" t="str">
        <f>IFERROR(INDEX(Mots!$B:$B,MATCH($A1066,Mots!$A:$A,0)),"introuvable")</f>
        <v>profond</v>
      </c>
      <c r="S1066" s="15" t="s">
        <v>7761</v>
      </c>
      <c r="T1066" s="15" t="s">
        <v>7776</v>
      </c>
    </row>
    <row r="1067" spans="1:20" x14ac:dyDescent="0.3">
      <c r="A1067" s="15" t="s">
        <v>7131</v>
      </c>
      <c r="B1067" s="12" t="str">
        <f>IFERROR(INDEX(Mots!$B:$B,MATCH($A1067,Mots!$A:$A,0)),"introuvable")</f>
        <v>promettre</v>
      </c>
      <c r="N1067" s="15" t="s">
        <v>7752</v>
      </c>
    </row>
    <row r="1068" spans="1:20" x14ac:dyDescent="0.3">
      <c r="A1068" s="15" t="s">
        <v>7135</v>
      </c>
      <c r="B1068" s="12" t="str">
        <f>IFERROR(INDEX(Mots!$B:$B,MATCH($A1068,Mots!$A:$A,0)),"introuvable")</f>
        <v>raconter</v>
      </c>
      <c r="N1068" s="15" t="s">
        <v>7752</v>
      </c>
    </row>
    <row r="1069" spans="1:20" x14ac:dyDescent="0.3">
      <c r="A1069" s="15" t="s">
        <v>7139</v>
      </c>
      <c r="B1069" s="12" t="str">
        <f>IFERROR(INDEX(Mots!$B:$B,MATCH($A1069,Mots!$A:$A,0)),"introuvable")</f>
        <v>ramasser</v>
      </c>
      <c r="I1069" s="15" t="s">
        <v>3780</v>
      </c>
      <c r="N1069" s="15" t="s">
        <v>7757</v>
      </c>
    </row>
    <row r="1070" spans="1:20" x14ac:dyDescent="0.3">
      <c r="A1070" s="15" t="s">
        <v>7146</v>
      </c>
      <c r="B1070" s="12" t="str">
        <f>IFERROR(INDEX(Mots!$B:$B,MATCH($A1070,Mots!$A:$A,0)),"introuvable")</f>
        <v>ranger</v>
      </c>
      <c r="I1070" s="15" t="s">
        <v>3780</v>
      </c>
    </row>
    <row r="1071" spans="1:20" x14ac:dyDescent="0.3">
      <c r="A1071" s="15" t="s">
        <v>7153</v>
      </c>
      <c r="B1071" s="12" t="str">
        <f>IFERROR(INDEX(Mots!$B:$B,MATCH($A1071,Mots!$A:$A,0)),"introuvable")</f>
        <v>rappeler</v>
      </c>
      <c r="N1071" s="15" t="s">
        <v>7752</v>
      </c>
    </row>
    <row r="1072" spans="1:20" x14ac:dyDescent="0.3">
      <c r="A1072" s="15" t="s">
        <v>7160</v>
      </c>
      <c r="B1072" s="12" t="str">
        <f>IFERROR(INDEX(Mots!$B:$B,MATCH($A1072,Mots!$A:$A,0)),"introuvable")</f>
        <v>réfléchir</v>
      </c>
      <c r="N1072" s="15" t="s">
        <v>7027</v>
      </c>
    </row>
    <row r="1073" spans="1:23" x14ac:dyDescent="0.3">
      <c r="A1073" s="15" t="s">
        <v>7164</v>
      </c>
      <c r="B1073" s="12" t="str">
        <f>IFERROR(INDEX(Mots!$B:$B,MATCH($A1073,Mots!$A:$A,0)),"introuvable")</f>
        <v>refuser</v>
      </c>
      <c r="N1073" s="15" t="s">
        <v>7752</v>
      </c>
    </row>
    <row r="1074" spans="1:23" x14ac:dyDescent="0.3">
      <c r="A1074" s="15" t="s">
        <v>7170</v>
      </c>
      <c r="B1074" s="12" t="str">
        <f>IFERROR(INDEX(Mots!$B:$B,MATCH($A1074,Mots!$A:$A,0)),"introuvable")</f>
        <v>regarder</v>
      </c>
      <c r="N1074" s="15" t="s">
        <v>7757</v>
      </c>
    </row>
    <row r="1075" spans="1:23" x14ac:dyDescent="0.3">
      <c r="A1075" s="15" t="s">
        <v>7178</v>
      </c>
      <c r="B1075" s="12" t="str">
        <f>IFERROR(INDEX(Mots!$B:$B,MATCH($A1075,Mots!$A:$A,0)),"introuvable")</f>
        <v>Régis Evéquoz</v>
      </c>
      <c r="W1075" s="15" t="s">
        <v>7782</v>
      </c>
    </row>
    <row r="1076" spans="1:23" x14ac:dyDescent="0.3">
      <c r="A1076" s="15" t="s">
        <v>7190</v>
      </c>
      <c r="B1076" s="12" t="str">
        <f>IFERROR(INDEX(Mots!$B:$B,MATCH($A1076,Mots!$A:$A,0)),"introuvable")</f>
        <v>remercier</v>
      </c>
      <c r="N1076" s="15" t="s">
        <v>7752</v>
      </c>
    </row>
    <row r="1077" spans="1:23" x14ac:dyDescent="0.3">
      <c r="A1077" s="15" t="s">
        <v>7198</v>
      </c>
      <c r="B1077" s="12" t="str">
        <f>IFERROR(INDEX(Mots!$B:$B,MATCH($A1077,Mots!$A:$A,0)),"introuvable")</f>
        <v>réparer</v>
      </c>
      <c r="I1077" s="15" t="s">
        <v>82</v>
      </c>
      <c r="J1077" s="15" t="s">
        <v>2846</v>
      </c>
      <c r="N1077" s="15" t="s">
        <v>7725</v>
      </c>
      <c r="O1077" s="15" t="s">
        <v>7729</v>
      </c>
    </row>
    <row r="1078" spans="1:23" x14ac:dyDescent="0.3">
      <c r="A1078" s="15" t="s">
        <v>7206</v>
      </c>
      <c r="B1078" s="12" t="str">
        <f>IFERROR(INDEX(Mots!$B:$B,MATCH($A1078,Mots!$A:$A,0)),"introuvable")</f>
        <v>répéter</v>
      </c>
      <c r="N1078" s="15" t="s">
        <v>7752</v>
      </c>
    </row>
    <row r="1079" spans="1:23" x14ac:dyDescent="0.3">
      <c r="A1079" s="15" t="s">
        <v>7212</v>
      </c>
      <c r="B1079" s="12" t="str">
        <f>IFERROR(INDEX(Mots!$B:$B,MATCH($A1079,Mots!$A:$A,0)),"introuvable")</f>
        <v>répondre</v>
      </c>
      <c r="I1079" s="15" t="s">
        <v>3780</v>
      </c>
      <c r="N1079" s="15" t="s">
        <v>7752</v>
      </c>
    </row>
    <row r="1080" spans="1:23" x14ac:dyDescent="0.3">
      <c r="A1080" s="15" t="s">
        <v>7218</v>
      </c>
      <c r="B1080" s="12" t="str">
        <f>IFERROR(INDEX(Mots!$B:$B,MATCH($A1080,Mots!$A:$A,0)),"introuvable")</f>
        <v>résistant</v>
      </c>
      <c r="S1080" s="15" t="s">
        <v>7770</v>
      </c>
    </row>
    <row r="1081" spans="1:23" x14ac:dyDescent="0.3">
      <c r="A1081" s="15" t="s">
        <v>7239</v>
      </c>
      <c r="B1081" s="12" t="str">
        <f>IFERROR(INDEX(Mots!$B:$B,MATCH($A1081,Mots!$A:$A,0)),"introuvable")</f>
        <v>roux</v>
      </c>
      <c r="S1081" s="15" t="s">
        <v>2321</v>
      </c>
    </row>
    <row r="1082" spans="1:23" x14ac:dyDescent="0.3">
      <c r="A1082" s="15" t="s">
        <v>7246</v>
      </c>
      <c r="B1082" s="12" t="str">
        <f>IFERROR(INDEX(Mots!$B:$B,MATCH($A1082,Mots!$A:$A,0)),"introuvable")</f>
        <v>rude</v>
      </c>
      <c r="S1082" s="15" t="s">
        <v>7359</v>
      </c>
      <c r="T1082" s="15" t="s">
        <v>6198</v>
      </c>
    </row>
    <row r="1083" spans="1:23" x14ac:dyDescent="0.3">
      <c r="A1083" s="15" t="s">
        <v>7248</v>
      </c>
      <c r="B1083" s="12" t="str">
        <f>IFERROR(INDEX(Mots!$B:$B,MATCH($A1083,Mots!$A:$A,0)),"introuvable")</f>
        <v>rusé</v>
      </c>
      <c r="S1083" s="15" t="s">
        <v>7770</v>
      </c>
    </row>
    <row r="1084" spans="1:23" x14ac:dyDescent="0.3">
      <c r="A1084" s="15" t="s">
        <v>7253</v>
      </c>
      <c r="B1084" s="12" t="str">
        <f>IFERROR(INDEX(Mots!$B:$B,MATCH($A1084,Mots!$A:$A,0)),"introuvable")</f>
        <v>saluer</v>
      </c>
      <c r="N1084" s="15" t="s">
        <v>7752</v>
      </c>
    </row>
    <row r="1085" spans="1:23" x14ac:dyDescent="0.3">
      <c r="A1085" s="15" t="s">
        <v>7261</v>
      </c>
      <c r="B1085" s="12" t="str">
        <f>IFERROR(INDEX(Mots!$B:$B,MATCH($A1085,Mots!$A:$A,0)),"introuvable")</f>
        <v>s'asseoir</v>
      </c>
      <c r="N1085" s="15" t="s">
        <v>7727</v>
      </c>
    </row>
    <row r="1086" spans="1:23" x14ac:dyDescent="0.3">
      <c r="A1086" s="8" t="s">
        <v>9613</v>
      </c>
      <c r="B1086" s="12" t="str">
        <f>IFERROR(INDEX(Mots!$B:$B,MATCH($A1086,Mots!$A:$A,0)),"introuvable")</f>
        <v>sauvage</v>
      </c>
      <c r="S1086" s="15" t="s">
        <v>7776</v>
      </c>
    </row>
    <row r="1087" spans="1:23" x14ac:dyDescent="0.3">
      <c r="A1087" s="15" t="s">
        <v>7278</v>
      </c>
      <c r="B1087" s="12" t="str">
        <f>IFERROR(INDEX(Mots!$B:$B,MATCH($A1087,Mots!$A:$A,0)),"introuvable")</f>
        <v>savoir</v>
      </c>
      <c r="N1087" s="15" t="s">
        <v>7027</v>
      </c>
    </row>
    <row r="1088" spans="1:23" x14ac:dyDescent="0.3">
      <c r="A1088" s="15" t="s">
        <v>7282</v>
      </c>
      <c r="B1088" s="12" t="str">
        <f>IFERROR(INDEX(Mots!$B:$B,MATCH($A1088,Mots!$A:$A,0)),"introuvable")</f>
        <v>se souvenir</v>
      </c>
      <c r="N1088" s="15" t="s">
        <v>7027</v>
      </c>
      <c r="O1088" s="15" t="s">
        <v>7757</v>
      </c>
    </row>
    <row r="1089" spans="1:23" x14ac:dyDescent="0.3">
      <c r="A1089" s="15" t="s">
        <v>7286</v>
      </c>
      <c r="B1089" s="12" t="str">
        <f>IFERROR(INDEX(Mots!$B:$B,MATCH($A1089,Mots!$A:$A,0)),"introuvable")</f>
        <v>sentir</v>
      </c>
      <c r="N1089" s="15" t="s">
        <v>7755</v>
      </c>
    </row>
    <row r="1090" spans="1:23" x14ac:dyDescent="0.3">
      <c r="A1090" s="15" t="s">
        <v>7307</v>
      </c>
      <c r="B1090" s="12" t="str">
        <f>IFERROR(INDEX(Mots!$B:$B,MATCH($A1090,Mots!$A:$A,0)),"introuvable")</f>
        <v>sortir</v>
      </c>
      <c r="N1090" s="15" t="s">
        <v>7720</v>
      </c>
    </row>
    <row r="1091" spans="1:23" x14ac:dyDescent="0.3">
      <c r="A1091" s="15" t="s">
        <v>7316</v>
      </c>
      <c r="B1091" s="12" t="str">
        <f>IFERROR(INDEX(Mots!$B:$B,MATCH($A1091,Mots!$A:$A,0)),"introuvable")</f>
        <v>souple</v>
      </c>
      <c r="S1091" s="15" t="s">
        <v>7359</v>
      </c>
      <c r="T1091" s="15" t="s">
        <v>7770</v>
      </c>
      <c r="U1091" s="15" t="s">
        <v>7774</v>
      </c>
    </row>
    <row r="1092" spans="1:23" x14ac:dyDescent="0.3">
      <c r="A1092" s="15" t="s">
        <v>7323</v>
      </c>
      <c r="B1092" s="12" t="str">
        <f>IFERROR(INDEX(Mots!$B:$B,MATCH($A1092,Mots!$A:$A,0)),"introuvable")</f>
        <v>Stéphanie Germanier</v>
      </c>
      <c r="W1092" s="15" t="s">
        <v>7782</v>
      </c>
    </row>
    <row r="1093" spans="1:23" x14ac:dyDescent="0.3">
      <c r="A1093" s="15" t="s">
        <v>7327</v>
      </c>
      <c r="B1093" s="12" t="str">
        <f>IFERROR(INDEX(Mots!$B:$B,MATCH($A1093,Mots!$A:$A,0)),"introuvable")</f>
        <v>supplier</v>
      </c>
      <c r="N1093" s="15" t="s">
        <v>7752</v>
      </c>
    </row>
    <row r="1094" spans="1:23" x14ac:dyDescent="0.3">
      <c r="A1094" s="15" t="s">
        <v>7331</v>
      </c>
      <c r="B1094" s="12" t="str">
        <f>IFERROR(INDEX(Mots!$B:$B,MATCH($A1094,Mots!$A:$A,0)),"introuvable")</f>
        <v>surtout</v>
      </c>
      <c r="G1094" s="15" t="s">
        <v>7805</v>
      </c>
    </row>
    <row r="1095" spans="1:23" x14ac:dyDescent="0.3">
      <c r="A1095" s="15" t="s">
        <v>7333</v>
      </c>
      <c r="B1095" s="12" t="str">
        <f>IFERROR(INDEX(Mots!$B:$B,MATCH($A1095,Mots!$A:$A,0)),"introuvable")</f>
        <v>tenir</v>
      </c>
      <c r="N1095" s="15" t="s">
        <v>7757</v>
      </c>
    </row>
    <row r="1096" spans="1:23" x14ac:dyDescent="0.3">
      <c r="A1096" s="15" t="s">
        <v>7339</v>
      </c>
      <c r="B1096" s="12" t="str">
        <f>IFERROR(INDEX(Mots!$B:$B,MATCH($A1096,Mots!$A:$A,0)),"introuvable")</f>
        <v>tiède</v>
      </c>
      <c r="G1096" s="15" t="s">
        <v>7805</v>
      </c>
    </row>
    <row r="1097" spans="1:23" x14ac:dyDescent="0.3">
      <c r="A1097" s="15" t="s">
        <v>7343</v>
      </c>
      <c r="B1097" s="12" t="str">
        <f>IFERROR(INDEX(Mots!$B:$B,MATCH($A1097,Mots!$A:$A,0)),"introuvable")</f>
        <v>tirer</v>
      </c>
      <c r="I1097" s="15" t="s">
        <v>3780</v>
      </c>
      <c r="N1097" s="15" t="s">
        <v>7752</v>
      </c>
    </row>
    <row r="1098" spans="1:23" x14ac:dyDescent="0.3">
      <c r="A1098" s="15" t="s">
        <v>7366</v>
      </c>
      <c r="B1098" s="12" t="str">
        <f>IFERROR(INDEX(Mots!$B:$B,MATCH($A1098,Mots!$A:$A,0)),"introuvable")</f>
        <v>touffu</v>
      </c>
      <c r="S1098" s="15" t="s">
        <v>7772</v>
      </c>
    </row>
    <row r="1099" spans="1:23" x14ac:dyDescent="0.3">
      <c r="A1099" s="15" t="s">
        <v>7368</v>
      </c>
      <c r="B1099" s="12" t="str">
        <f>IFERROR(INDEX(Mots!$B:$B,MATCH($A1099,Mots!$A:$A,0)),"introuvable")</f>
        <v>tranquille</v>
      </c>
      <c r="S1099" s="15" t="s">
        <v>7779</v>
      </c>
    </row>
    <row r="1100" spans="1:23" x14ac:dyDescent="0.3">
      <c r="A1100" s="15" t="s">
        <v>7374</v>
      </c>
      <c r="B1100" s="12" t="str">
        <f>IFERROR(INDEX(Mots!$B:$B,MATCH($A1100,Mots!$A:$A,0)),"introuvable")</f>
        <v>travailler</v>
      </c>
      <c r="I1100" s="15" t="s">
        <v>73</v>
      </c>
      <c r="N1100" s="15" t="s">
        <v>7375</v>
      </c>
    </row>
    <row r="1101" spans="1:23" x14ac:dyDescent="0.3">
      <c r="A1101" s="15" t="s">
        <v>7378</v>
      </c>
      <c r="B1101" s="12" t="str">
        <f>IFERROR(INDEX(Mots!$B:$B,MATCH($A1101,Mots!$A:$A,0)),"introuvable")</f>
        <v>très</v>
      </c>
      <c r="G1101" s="15" t="s">
        <v>7764</v>
      </c>
    </row>
    <row r="1102" spans="1:23" x14ac:dyDescent="0.3">
      <c r="A1102" s="15" t="s">
        <v>7381</v>
      </c>
      <c r="B1102" s="12" t="str">
        <f>IFERROR(INDEX(Mots!$B:$B,MATCH($A1102,Mots!$A:$A,0)),"introuvable")</f>
        <v>trop</v>
      </c>
      <c r="G1102" s="15" t="s">
        <v>4956</v>
      </c>
    </row>
    <row r="1103" spans="1:23" x14ac:dyDescent="0.3">
      <c r="A1103" s="15" t="s">
        <v>7396</v>
      </c>
      <c r="B1103" s="12" t="str">
        <f>IFERROR(INDEX(Mots!$B:$B,MATCH($A1103,Mots!$A:$A,0)),"introuvable")</f>
        <v>velouté</v>
      </c>
      <c r="S1103" s="15" t="s">
        <v>7359</v>
      </c>
      <c r="T1103" s="15" t="s">
        <v>6198</v>
      </c>
    </row>
    <row r="1104" spans="1:23" x14ac:dyDescent="0.3">
      <c r="A1104" s="15" t="s">
        <v>7400</v>
      </c>
      <c r="B1104" s="12" t="str">
        <f>IFERROR(INDEX(Mots!$B:$B,MATCH($A1104,Mots!$A:$A,0)),"introuvable")</f>
        <v>vendre</v>
      </c>
      <c r="I1104" s="15" t="s">
        <v>73</v>
      </c>
      <c r="N1104" s="15" t="s">
        <v>7375</v>
      </c>
      <c r="O1104" s="15" t="s">
        <v>7757</v>
      </c>
    </row>
    <row r="1105" spans="1:20" x14ac:dyDescent="0.3">
      <c r="A1105" s="15" t="s">
        <v>7405</v>
      </c>
      <c r="B1105" s="12" t="str">
        <f>IFERROR(INDEX(Mots!$B:$B,MATCH($A1105,Mots!$A:$A,0)),"introuvable")</f>
        <v>venir</v>
      </c>
      <c r="I1105" s="15" t="s">
        <v>3780</v>
      </c>
      <c r="N1105" s="15" t="s">
        <v>7752</v>
      </c>
    </row>
    <row r="1106" spans="1:20" x14ac:dyDescent="0.3">
      <c r="A1106" s="15" t="s">
        <v>7413</v>
      </c>
      <c r="B1106" s="12" t="str">
        <f>IFERROR(INDEX(Mots!$B:$B,MATCH($A1106,Mots!$A:$A,0)),"introuvable")</f>
        <v>vif - vive</v>
      </c>
      <c r="S1106" s="15" t="s">
        <v>7770</v>
      </c>
      <c r="T1106" s="15" t="s">
        <v>3020</v>
      </c>
    </row>
    <row r="1107" spans="1:20" x14ac:dyDescent="0.3">
      <c r="A1107" s="8" t="s">
        <v>9629</v>
      </c>
      <c r="B1107" s="12" t="str">
        <f>IFERROR(INDEX(Mots!$B:$B,MATCH($A1107,Mots!$A:$A,0)),"introuvable")</f>
        <v>vite</v>
      </c>
      <c r="G1107" s="15" t="s">
        <v>3020</v>
      </c>
    </row>
    <row r="1108" spans="1:20" x14ac:dyDescent="0.3">
      <c r="A1108" s="15" t="s">
        <v>7432</v>
      </c>
      <c r="B1108" s="12" t="str">
        <f>IFERROR(INDEX(Mots!$B:$B,MATCH($A1108,Mots!$A:$A,0)),"introuvable")</f>
        <v>voler</v>
      </c>
      <c r="I1108" s="15" t="s">
        <v>3780</v>
      </c>
      <c r="N1108" s="15" t="s">
        <v>7720</v>
      </c>
    </row>
    <row r="1109" spans="1:20" x14ac:dyDescent="0.3">
      <c r="A1109" s="15" t="s">
        <v>7436</v>
      </c>
      <c r="B1109" s="12" t="str">
        <f>IFERROR(INDEX(Mots!$B:$B,MATCH($A1109,Mots!$A:$A,0)),"introuvable")</f>
        <v>vouloir</v>
      </c>
      <c r="N1109" s="15" t="s">
        <v>7755</v>
      </c>
    </row>
    <row r="1110" spans="1:20" x14ac:dyDescent="0.3">
      <c r="A1110" s="15" t="s">
        <v>7445</v>
      </c>
      <c r="B1110" s="12" t="str">
        <f>IFERROR(INDEX(Mots!$B:$B,MATCH($A1110,Mots!$A:$A,0)),"introuvable")</f>
        <v>zéro</v>
      </c>
      <c r="G1110" s="15" t="s">
        <v>6023</v>
      </c>
    </row>
    <row r="1111" spans="1:20" x14ac:dyDescent="0.3">
      <c r="A1111" s="15" t="s">
        <v>7449</v>
      </c>
      <c r="B1111" s="12" t="str">
        <f>IFERROR(INDEX(Mots!$B:$B,MATCH($A1111,Mots!$A:$A,0)),"introuvable")</f>
        <v>le yogurt</v>
      </c>
      <c r="C1111" s="15" t="s">
        <v>7740</v>
      </c>
      <c r="I1111" s="15" t="s">
        <v>702</v>
      </c>
      <c r="N1111" s="15" t="s">
        <v>7711</v>
      </c>
    </row>
    <row r="1112" spans="1:20" x14ac:dyDescent="0.3">
      <c r="A1112" s="15" t="s">
        <v>7453</v>
      </c>
      <c r="B1112" s="12" t="str">
        <f>IFERROR(INDEX(Mots!$B:$B,MATCH($A1112,Mots!$A:$A,0)),"introuvable")</f>
        <v>le vinaigre</v>
      </c>
      <c r="C1112" s="15" t="s">
        <v>7740</v>
      </c>
      <c r="I1112" s="15" t="s">
        <v>702</v>
      </c>
      <c r="N1112" s="15" t="s">
        <v>7711</v>
      </c>
    </row>
    <row r="1113" spans="1:20" x14ac:dyDescent="0.3">
      <c r="A1113" s="15" t="s">
        <v>117</v>
      </c>
      <c r="B1113" s="12" t="str">
        <f>IFERROR(INDEX(Mots!$B:$B,MATCH($A1113,Mots!$A:$A,0)),"introuvable")</f>
        <v>les accompagnements</v>
      </c>
      <c r="C1113" s="15" t="s">
        <v>7740</v>
      </c>
      <c r="I1113" s="15" t="s">
        <v>702</v>
      </c>
      <c r="N1113" s="15" t="s">
        <v>7711</v>
      </c>
    </row>
    <row r="1114" spans="1:20" x14ac:dyDescent="0.3">
      <c r="A1114" s="15" t="s">
        <v>7461</v>
      </c>
      <c r="B1114" s="12" t="str">
        <f>IFERROR(INDEX(Mots!$B:$B,MATCH($A1114,Mots!$A:$A,0)),"introuvable")</f>
        <v>le tiramisu</v>
      </c>
      <c r="I1114" s="15" t="s">
        <v>702</v>
      </c>
      <c r="N1114" s="15" t="s">
        <v>7711</v>
      </c>
    </row>
    <row r="1115" spans="1:20" x14ac:dyDescent="0.3">
      <c r="A1115" s="15" t="s">
        <v>7465</v>
      </c>
      <c r="B1115" s="12" t="str">
        <f>IFERROR(INDEX(Mots!$B:$B,MATCH($A1115,Mots!$A:$A,0)),"introuvable")</f>
        <v>une coupe aux fraises</v>
      </c>
      <c r="C1115" s="15" t="s">
        <v>7740</v>
      </c>
      <c r="I1115" s="15" t="s">
        <v>702</v>
      </c>
      <c r="N1115" s="15" t="s">
        <v>7711</v>
      </c>
    </row>
    <row r="1116" spans="1:20" x14ac:dyDescent="0.3">
      <c r="A1116" s="15" t="s">
        <v>7469</v>
      </c>
      <c r="B1116" s="12" t="str">
        <f>IFERROR(INDEX(Mots!$B:$B,MATCH($A1116,Mots!$A:$A,0)),"introuvable")</f>
        <v>le big mac chez Mc Donald</v>
      </c>
      <c r="I1116" s="15" t="s">
        <v>702</v>
      </c>
      <c r="N1116" s="15" t="s">
        <v>7711</v>
      </c>
    </row>
    <row r="1117" spans="1:20" x14ac:dyDescent="0.3">
      <c r="A1117" s="15" t="s">
        <v>7473</v>
      </c>
      <c r="B1117" s="12" t="str">
        <f>IFERROR(INDEX(Mots!$B:$B,MATCH($A1117,Mots!$A:$A,0)),"introuvable")</f>
        <v>le carrelage</v>
      </c>
      <c r="I1117" s="15" t="s">
        <v>34</v>
      </c>
    </row>
    <row r="1118" spans="1:20" x14ac:dyDescent="0.3">
      <c r="A1118" s="15" t="s">
        <v>7477</v>
      </c>
      <c r="B1118" s="12" t="str">
        <f>IFERROR(INDEX(Mots!$B:$B,MATCH($A1118,Mots!$A:$A,0)),"introuvable")</f>
        <v>la poignée de la porte</v>
      </c>
      <c r="I1118" s="15" t="s">
        <v>34</v>
      </c>
    </row>
    <row r="1119" spans="1:20" x14ac:dyDescent="0.3">
      <c r="A1119" s="15" t="s">
        <v>7485</v>
      </c>
      <c r="B1119" s="12" t="str">
        <f>IFERROR(INDEX(Mots!$B:$B,MATCH($A1119,Mots!$A:$A,0)),"introuvable")</f>
        <v>la note</v>
      </c>
      <c r="I1119" s="15" t="s">
        <v>7709</v>
      </c>
      <c r="N1119" s="15" t="s">
        <v>7723</v>
      </c>
    </row>
    <row r="1120" spans="1:20" x14ac:dyDescent="0.3">
      <c r="A1120" s="15" t="s">
        <v>7489</v>
      </c>
      <c r="B1120" s="12" t="str">
        <f>IFERROR(INDEX(Mots!$B:$B,MATCH($A1120,Mots!$A:$A,0)),"introuvable")</f>
        <v>la gamme</v>
      </c>
      <c r="I1120" s="15" t="s">
        <v>7709</v>
      </c>
      <c r="N1120" s="15" t="s">
        <v>7723</v>
      </c>
    </row>
    <row r="1121" spans="1:23" x14ac:dyDescent="0.3">
      <c r="A1121" s="15" t="s">
        <v>7493</v>
      </c>
      <c r="B1121" s="12" t="str">
        <f>IFERROR(INDEX(Mots!$B:$B,MATCH($A1121,Mots!$A:$A,0)),"introuvable")</f>
        <v>le métronome</v>
      </c>
      <c r="C1121" s="15" t="s">
        <v>5288</v>
      </c>
      <c r="I1121" s="15" t="s">
        <v>7709</v>
      </c>
      <c r="N1121" s="15" t="s">
        <v>7723</v>
      </c>
    </row>
    <row r="1122" spans="1:23" x14ac:dyDescent="0.3">
      <c r="A1122" s="15" t="s">
        <v>7497</v>
      </c>
      <c r="B1122" s="12" t="str">
        <f>IFERROR(INDEX(Mots!$B:$B,MATCH($A1122,Mots!$A:$A,0)),"introuvable")</f>
        <v>le levier de vitesse</v>
      </c>
      <c r="E1122" s="15" t="s">
        <v>2846</v>
      </c>
      <c r="I1122" s="15" t="s">
        <v>2846</v>
      </c>
      <c r="N1122" s="15" t="s">
        <v>7720</v>
      </c>
    </row>
    <row r="1123" spans="1:23" x14ac:dyDescent="0.3">
      <c r="A1123" s="15" t="s">
        <v>7501</v>
      </c>
      <c r="B1123" s="12" t="str">
        <f>IFERROR(INDEX(Mots!$B:$B,MATCH($A1123,Mots!$A:$A,0)),"introuvable")</f>
        <v>récurrer</v>
      </c>
      <c r="I1123" s="15" t="s">
        <v>34</v>
      </c>
      <c r="N1123" s="15" t="s">
        <v>6959</v>
      </c>
    </row>
    <row r="1124" spans="1:23" x14ac:dyDescent="0.3">
      <c r="A1124" s="15" t="s">
        <v>7505</v>
      </c>
      <c r="B1124" s="12" t="str">
        <f>IFERROR(INDEX(Mots!$B:$B,MATCH($A1124,Mots!$A:$A,0)),"introuvable")</f>
        <v>l'appareil photo</v>
      </c>
      <c r="C1124" s="15" t="s">
        <v>5288</v>
      </c>
    </row>
    <row r="1125" spans="1:23" x14ac:dyDescent="0.3">
      <c r="A1125" s="15" t="s">
        <v>7509</v>
      </c>
      <c r="B1125" s="12" t="str">
        <f>IFERROR(INDEX(Mots!$B:$B,MATCH($A1125,Mots!$A:$A,0)),"introuvable")</f>
        <v>le léopard</v>
      </c>
      <c r="C1125" s="15" t="s">
        <v>2811</v>
      </c>
      <c r="I1125" s="15" t="s">
        <v>3780</v>
      </c>
    </row>
    <row r="1126" spans="1:23" x14ac:dyDescent="0.3">
      <c r="A1126" s="15" t="s">
        <v>7515</v>
      </c>
      <c r="B1126" s="12" t="str">
        <f>IFERROR(INDEX(Mots!$B:$B,MATCH($A1126,Mots!$A:$A,0)),"introuvable")</f>
        <v>le moustique</v>
      </c>
      <c r="C1126" s="15" t="s">
        <v>1169</v>
      </c>
      <c r="I1126" s="15" t="s">
        <v>3780</v>
      </c>
    </row>
    <row r="1127" spans="1:23" x14ac:dyDescent="0.3">
      <c r="A1127" s="15" t="s">
        <v>7519</v>
      </c>
      <c r="B1127" s="12" t="str">
        <f>IFERROR(INDEX(Mots!$B:$B,MATCH($A1127,Mots!$A:$A,0)),"introuvable")</f>
        <v>le maïs</v>
      </c>
      <c r="C1127" s="15" t="s">
        <v>7740</v>
      </c>
      <c r="I1127" s="15" t="s">
        <v>702</v>
      </c>
      <c r="J1127" s="15" t="s">
        <v>3780</v>
      </c>
      <c r="N1127" s="15" t="s">
        <v>7711</v>
      </c>
    </row>
    <row r="1128" spans="1:23" x14ac:dyDescent="0.3">
      <c r="A1128" s="15" t="s">
        <v>7527</v>
      </c>
      <c r="B1128" s="12" t="str">
        <f>IFERROR(INDEX(Mots!$B:$B,MATCH($A1128,Mots!$A:$A,0)),"introuvable")</f>
        <v>tousser</v>
      </c>
      <c r="I1128" s="15" t="s">
        <v>5057</v>
      </c>
      <c r="N1128" s="15" t="s">
        <v>7718</v>
      </c>
    </row>
    <row r="1129" spans="1:23" x14ac:dyDescent="0.3">
      <c r="A1129" s="15" t="s">
        <v>7530</v>
      </c>
      <c r="B1129" s="12" t="str">
        <f>IFERROR(INDEX(Mots!$B:$B,MATCH($A1129,Mots!$A:$A,0)),"introuvable")</f>
        <v>jambon</v>
      </c>
      <c r="C1129" s="15" t="s">
        <v>7740</v>
      </c>
      <c r="I1129" s="15" t="s">
        <v>702</v>
      </c>
      <c r="N1129" s="15" t="s">
        <v>7711</v>
      </c>
    </row>
    <row r="1130" spans="1:23" x14ac:dyDescent="0.3">
      <c r="A1130" s="15" t="s">
        <v>7535</v>
      </c>
      <c r="B1130" s="12" t="str">
        <f>IFERROR(INDEX(Mots!$B:$B,MATCH($A1130,Mots!$A:$A,0)),"introuvable")</f>
        <v>grand-maman Emma</v>
      </c>
      <c r="W1130" s="15" t="s">
        <v>29</v>
      </c>
    </row>
    <row r="1131" spans="1:23" x14ac:dyDescent="0.3">
      <c r="A1131" s="15" t="s">
        <v>7540</v>
      </c>
      <c r="B1131" s="12" t="str">
        <f>IFERROR(INDEX(Mots!$B:$B,MATCH($A1131,Mots!$A:$A,0)),"introuvable")</f>
        <v>grand-papa Maurice</v>
      </c>
      <c r="W1131" s="15" t="s">
        <v>29</v>
      </c>
    </row>
    <row r="1132" spans="1:23" x14ac:dyDescent="0.3">
      <c r="A1132" s="15" t="s">
        <v>7544</v>
      </c>
      <c r="B1132" s="12" t="str">
        <f>IFERROR(INDEX(Mots!$B:$B,MATCH($A1132,Mots!$A:$A,0)),"introuvable")</f>
        <v>l'oncle Bernard</v>
      </c>
      <c r="W1132" s="15" t="s">
        <v>29</v>
      </c>
    </row>
    <row r="1133" spans="1:23" x14ac:dyDescent="0.3">
      <c r="A1133" s="15" t="s">
        <v>7548</v>
      </c>
      <c r="B1133" s="12" t="str">
        <f>IFERROR(INDEX(Mots!$B:$B,MATCH($A1133,Mots!$A:$A,0)),"introuvable")</f>
        <v>l'oncle Marcel</v>
      </c>
      <c r="W1133" s="15" t="s">
        <v>29</v>
      </c>
    </row>
    <row r="1134" spans="1:23" x14ac:dyDescent="0.3">
      <c r="A1134" s="15" t="s">
        <v>7552</v>
      </c>
      <c r="B1134" s="12" t="str">
        <f>IFERROR(INDEX(Mots!$B:$B,MATCH($A1134,Mots!$A:$A,0)),"introuvable")</f>
        <v>tante Lucienne</v>
      </c>
      <c r="W1134" s="15" t="s">
        <v>29</v>
      </c>
    </row>
    <row r="1135" spans="1:23" x14ac:dyDescent="0.3">
      <c r="A1135" s="15" t="s">
        <v>7556</v>
      </c>
      <c r="B1135" s="12" t="str">
        <f>IFERROR(INDEX(Mots!$B:$B,MATCH($A1135,Mots!$A:$A,0)),"introuvable")</f>
        <v>tante Edith</v>
      </c>
      <c r="W1135" s="15" t="s">
        <v>29</v>
      </c>
    </row>
    <row r="1136" spans="1:23" x14ac:dyDescent="0.3">
      <c r="A1136" s="15" t="s">
        <v>7569</v>
      </c>
      <c r="B1136" s="12" t="str">
        <f>IFERROR(INDEX(Mots!$B:$B,MATCH($A1136,Mots!$A:$A,0)),"introuvable")</f>
        <v>interdire</v>
      </c>
      <c r="N1136" s="15" t="s">
        <v>7752</v>
      </c>
    </row>
    <row r="1137" spans="1:15" x14ac:dyDescent="0.3">
      <c r="A1137" s="15" t="s">
        <v>7576</v>
      </c>
      <c r="B1137" s="12" t="str">
        <f>IFERROR(INDEX(Mots!$B:$B,MATCH($A1137,Mots!$A:$A,0)),"introuvable")</f>
        <v>la capsule Nespresso</v>
      </c>
      <c r="C1137" s="15" t="s">
        <v>5288</v>
      </c>
    </row>
    <row r="1138" spans="1:15" x14ac:dyDescent="0.3">
      <c r="A1138" s="15" t="s">
        <v>1656</v>
      </c>
      <c r="B1138" s="12" t="str">
        <f>IFERROR(INDEX(Mots!$B:$B,MATCH($A1138,Mots!$A:$A,0)),"introuvable")</f>
        <v>la terre</v>
      </c>
      <c r="I1138" s="15" t="s">
        <v>3780</v>
      </c>
    </row>
    <row r="1139" spans="1:15" x14ac:dyDescent="0.3">
      <c r="A1139" s="15" t="s">
        <v>6043</v>
      </c>
      <c r="B1139" s="12" t="str">
        <f>IFERROR(INDEX(Mots!$B:$B,MATCH($A1139,Mots!$A:$A,0)),"introuvable")</f>
        <v>le numéro</v>
      </c>
      <c r="I1139" s="15" t="s">
        <v>82</v>
      </c>
    </row>
    <row r="1140" spans="1:15" x14ac:dyDescent="0.3">
      <c r="A1140" s="15" t="s">
        <v>6055</v>
      </c>
      <c r="B1140" s="12" t="str">
        <f>IFERROR(INDEX(Mots!$B:$B,MATCH($A1140,Mots!$A:$A,0)),"introuvable")</f>
        <v>le panneau</v>
      </c>
      <c r="I1140" s="15" t="s">
        <v>82</v>
      </c>
    </row>
    <row r="1141" spans="1:15" x14ac:dyDescent="0.3">
      <c r="A1141" s="15" t="s">
        <v>23</v>
      </c>
      <c r="B1141" s="12" t="str">
        <f>IFERROR(INDEX(Mots!$B:$B,MATCH($A1141,Mots!$A:$A,0)),"introuvable")</f>
        <v>la nourriture</v>
      </c>
      <c r="C1141" s="15" t="s">
        <v>7740</v>
      </c>
      <c r="N1141" s="15" t="s">
        <v>7711</v>
      </c>
    </row>
    <row r="1142" spans="1:15" x14ac:dyDescent="0.3">
      <c r="A1142" s="15" t="s">
        <v>7597</v>
      </c>
      <c r="B1142" s="12" t="str">
        <f>IFERROR(INDEX(Mots!$B:$B,MATCH($A1142,Mots!$A:$A,0)),"introuvable")</f>
        <v>habiter</v>
      </c>
      <c r="I1142" s="15" t="s">
        <v>34</v>
      </c>
      <c r="J1142" s="15" t="s">
        <v>82</v>
      </c>
    </row>
    <row r="1143" spans="1:15" x14ac:dyDescent="0.3">
      <c r="A1143" s="15" t="s">
        <v>7600</v>
      </c>
      <c r="B1143" s="12" t="str">
        <f>IFERROR(INDEX(Mots!$B:$B,MATCH($A1143,Mots!$A:$A,0)),"introuvable")</f>
        <v>éclairer</v>
      </c>
      <c r="I1143" s="15" t="s">
        <v>702</v>
      </c>
      <c r="J1143" s="15" t="s">
        <v>817</v>
      </c>
      <c r="K1143" s="15" t="s">
        <v>73</v>
      </c>
      <c r="N1143" s="15" t="s">
        <v>7757</v>
      </c>
    </row>
    <row r="1144" spans="1:15" x14ac:dyDescent="0.3">
      <c r="A1144" s="15" t="s">
        <v>249</v>
      </c>
      <c r="B1144" s="12" t="str">
        <f>IFERROR(INDEX(Mots!$B:$B,MATCH($A1144,Mots!$A:$A,0)),"introuvable")</f>
        <v>le souper</v>
      </c>
      <c r="I1144" s="15" t="s">
        <v>702</v>
      </c>
      <c r="N1144" s="15" t="s">
        <v>7711</v>
      </c>
    </row>
    <row r="1145" spans="1:15" x14ac:dyDescent="0.3">
      <c r="A1145" s="15" t="s">
        <v>7605</v>
      </c>
      <c r="B1145" s="12" t="str">
        <f>IFERROR(INDEX(Mots!$B:$B,MATCH($A1145,Mots!$A:$A,0)),"introuvable")</f>
        <v>le pommier</v>
      </c>
      <c r="C1145" s="15" t="s">
        <v>2811</v>
      </c>
      <c r="I1145" s="15" t="s">
        <v>3780</v>
      </c>
    </row>
    <row r="1146" spans="1:15" x14ac:dyDescent="0.3">
      <c r="A1146" s="15" t="s">
        <v>7608</v>
      </c>
      <c r="B1146" s="12" t="str">
        <f>IFERROR(INDEX(Mots!$B:$B,MATCH($A1146,Mots!$A:$A,0)),"introuvable")</f>
        <v>griller</v>
      </c>
      <c r="I1146" s="15" t="s">
        <v>702</v>
      </c>
      <c r="N1146" s="15" t="s">
        <v>7711</v>
      </c>
      <c r="O1146" s="15" t="s">
        <v>7713</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7711</v>
      </c>
    </row>
    <row r="1149" spans="1:15" x14ac:dyDescent="0.3">
      <c r="A1149" s="15" t="s">
        <v>7614</v>
      </c>
      <c r="B1149" s="12" t="str">
        <f>IFERROR(INDEX(Mots!$B:$B,MATCH($A1149,Mots!$A:$A,0)),"introuvable")</f>
        <v>conduire</v>
      </c>
      <c r="I1149" s="15" t="s">
        <v>2846</v>
      </c>
      <c r="N1149" s="15" t="s">
        <v>7720</v>
      </c>
    </row>
    <row r="1150" spans="1:15" x14ac:dyDescent="0.3">
      <c r="A1150" s="15" t="s">
        <v>7617</v>
      </c>
      <c r="B1150" s="12" t="str">
        <f>IFERROR(INDEX(Mots!$B:$B,MATCH($A1150,Mots!$A:$A,0)),"introuvable")</f>
        <v>un habit</v>
      </c>
      <c r="C1150" s="15" t="s">
        <v>6572</v>
      </c>
      <c r="I1150" s="15" t="s">
        <v>34</v>
      </c>
      <c r="N1150" s="15" t="s">
        <v>7716</v>
      </c>
    </row>
    <row r="1151" spans="1:15" x14ac:dyDescent="0.3">
      <c r="A1151" s="15" t="s">
        <v>7620</v>
      </c>
      <c r="B1151" s="12" t="str">
        <f>IFERROR(INDEX(Mots!$B:$B,MATCH($A1151,Mots!$A:$A,0)),"introuvable")</f>
        <v>traverser</v>
      </c>
      <c r="I1151" s="15" t="s">
        <v>3780</v>
      </c>
      <c r="J1151" s="15" t="s">
        <v>82</v>
      </c>
    </row>
    <row r="1152" spans="1:15" x14ac:dyDescent="0.3">
      <c r="A1152" s="15" t="s">
        <v>7623</v>
      </c>
      <c r="B1152" s="12" t="str">
        <f>IFERROR(INDEX(Mots!$B:$B,MATCH($A1152,Mots!$A:$A,0)),"introuvable")</f>
        <v>avaler</v>
      </c>
      <c r="N1152" s="15" t="s">
        <v>7711</v>
      </c>
    </row>
    <row r="1153" spans="1:14" x14ac:dyDescent="0.3">
      <c r="A1153" s="15" t="s">
        <v>7625</v>
      </c>
      <c r="B1153" s="12" t="str">
        <f>IFERROR(INDEX(Mots!$B:$B,MATCH($A1153,Mots!$A:$A,0)),"introuvable")</f>
        <v>le verre</v>
      </c>
      <c r="C1153" s="15" t="s">
        <v>4645</v>
      </c>
      <c r="I1153" s="15" t="s">
        <v>702</v>
      </c>
      <c r="N1153" s="15" t="s">
        <v>7711</v>
      </c>
    </row>
    <row r="1154" spans="1:14" x14ac:dyDescent="0.3">
      <c r="A1154" s="15" t="s">
        <v>7643</v>
      </c>
      <c r="B1154" s="12" t="str">
        <f>IFERROR(INDEX(Mots!$B:$B,MATCH($A1154,Mots!$A:$A,0)),"introuvable")</f>
        <v>le produit ou gel de douche</v>
      </c>
      <c r="I1154" s="15" t="s">
        <v>2762</v>
      </c>
      <c r="N1154" s="15" t="s">
        <v>6959</v>
      </c>
    </row>
    <row r="1155" spans="1:14" x14ac:dyDescent="0.3">
      <c r="A1155" s="15" t="s">
        <v>7649</v>
      </c>
      <c r="B1155" s="12" t="str">
        <f>IFERROR(INDEX(Mots!$B:$B,MATCH($A1155,Mots!$A:$A,0)),"introuvable")</f>
        <v>l'aile</v>
      </c>
      <c r="E1155" s="15" t="s">
        <v>1169</v>
      </c>
    </row>
    <row r="1156" spans="1:14" x14ac:dyDescent="0.3">
      <c r="A1156" s="15" t="s">
        <v>7657</v>
      </c>
      <c r="B1156" s="12" t="str">
        <f>IFERROR(INDEX(Mots!$B:$B,MATCH($A1156,Mots!$A:$A,0)),"introuvable")</f>
        <v>l'aile</v>
      </c>
      <c r="E1156" s="15" t="s">
        <v>7733</v>
      </c>
    </row>
    <row r="1157" spans="1:14" x14ac:dyDescent="0.3">
      <c r="A1157" s="15" t="s">
        <v>7665</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7690</v>
      </c>
      <c r="B1" s="37" t="s">
        <v>7691</v>
      </c>
      <c r="C1" s="37" t="s">
        <v>7833</v>
      </c>
      <c r="D1" s="37" t="s">
        <v>7834</v>
      </c>
      <c r="E1" s="37" t="s">
        <v>7835</v>
      </c>
    </row>
    <row r="2" spans="1:5" x14ac:dyDescent="0.4">
      <c r="A2" s="39" t="s">
        <v>6572</v>
      </c>
      <c r="B2" s="40" t="str">
        <f>IFERROR(INDEX(Mots!$B:$B,MATCH($A2,Mots!$A:$A,0)),"introuvable")</f>
        <v>le vêtement</v>
      </c>
      <c r="C2" s="39" t="s">
        <v>9729</v>
      </c>
    </row>
    <row r="3" spans="1:5" x14ac:dyDescent="0.4">
      <c r="A3" s="39" t="s">
        <v>7617</v>
      </c>
      <c r="B3" s="40" t="str">
        <f>IFERROR(INDEX(Mots!$B:$B,MATCH($A3,Mots!$A:$A,0)),"introuvable")</f>
        <v>un habit</v>
      </c>
      <c r="C3" s="39" t="s">
        <v>6573</v>
      </c>
    </row>
    <row r="4" spans="1:5" x14ac:dyDescent="0.4">
      <c r="A4" s="39" t="s">
        <v>553</v>
      </c>
      <c r="B4" s="40" t="str">
        <f>IFERROR(INDEX(Mots!$B:$B,MATCH($A4,Mots!$A:$A,0)),"introuvable")</f>
        <v>la pelouse</v>
      </c>
      <c r="C4" s="39" t="s">
        <v>7836</v>
      </c>
    </row>
    <row r="5" spans="1:5" x14ac:dyDescent="0.4">
      <c r="A5" s="39" t="s">
        <v>705</v>
      </c>
      <c r="B5" s="40" t="str">
        <f>IFERROR(INDEX(Mots!$B:$B,MATCH($A5,Mots!$A:$A,0)),"introuvable")</f>
        <v>le frigo</v>
      </c>
      <c r="C5" s="39" t="s">
        <v>7837</v>
      </c>
    </row>
    <row r="6" spans="1:5" x14ac:dyDescent="0.4">
      <c r="A6" s="39" t="s">
        <v>820</v>
      </c>
      <c r="B6" s="40" t="str">
        <f>IFERROR(INDEX(Mots!$B:$B,MATCH($A6,Mots!$A:$A,0)),"introuvable")</f>
        <v>le canapé</v>
      </c>
      <c r="C6" s="39" t="s">
        <v>7838</v>
      </c>
      <c r="D6" s="39" t="s">
        <v>7839</v>
      </c>
    </row>
    <row r="7" spans="1:5" x14ac:dyDescent="0.4">
      <c r="A7" s="39" t="s">
        <v>434</v>
      </c>
      <c r="B7" s="40" t="str">
        <f>IFERROR(INDEX(Mots!$B:$B,MATCH($A7,Mots!$A:$A,0)),"introuvable")</f>
        <v>le rapport</v>
      </c>
      <c r="C7" s="39" t="s">
        <v>7840</v>
      </c>
    </row>
    <row r="8" spans="1:5" x14ac:dyDescent="0.4">
      <c r="A8" s="39" t="s">
        <v>1837</v>
      </c>
      <c r="B8" s="40" t="str">
        <f>IFERROR(INDEX(Mots!$B:$B,MATCH($A8,Mots!$A:$A,0)),"introuvable")</f>
        <v>le salaire</v>
      </c>
      <c r="C8" s="39" t="s">
        <v>7841</v>
      </c>
    </row>
    <row r="9" spans="1:5" x14ac:dyDescent="0.4">
      <c r="A9" s="39" t="s">
        <v>6198</v>
      </c>
      <c r="B9" s="40" t="str">
        <f>IFERROR(INDEX(Mots!$B:$B,MATCH($A9,Mots!$A:$A,0)),"introuvable")</f>
        <v>le prix</v>
      </c>
      <c r="C9" s="39" t="s">
        <v>7842</v>
      </c>
      <c r="D9" s="39" t="s">
        <v>7843</v>
      </c>
    </row>
    <row r="10" spans="1:5" x14ac:dyDescent="0.4">
      <c r="A10" s="39" t="s">
        <v>2846</v>
      </c>
      <c r="B10" s="40" t="str">
        <f>IFERROR(INDEX(Mots!$B:$B,MATCH($A10,Mots!$A:$A,0)),"introuvable")</f>
        <v>la voiture</v>
      </c>
      <c r="C10" s="39" t="s">
        <v>7844</v>
      </c>
      <c r="D10" s="39" t="s">
        <v>7845</v>
      </c>
    </row>
    <row r="11" spans="1:5" x14ac:dyDescent="0.4">
      <c r="A11" s="39" t="s">
        <v>2834</v>
      </c>
      <c r="B11" s="40" t="str">
        <f>IFERROR(INDEX(Mots!$B:$B,MATCH($A11,Mots!$A:$A,0)),"introuvable")</f>
        <v>le vélo</v>
      </c>
      <c r="C11" s="39" t="s">
        <v>7846</v>
      </c>
    </row>
    <row r="12" spans="1:5" x14ac:dyDescent="0.4">
      <c r="A12" s="39" t="s">
        <v>2156</v>
      </c>
      <c r="B12" s="40" t="str">
        <f>IFERROR(INDEX(Mots!$B:$B,MATCH($A12,Mots!$A:$A,0)),"introuvable")</f>
        <v>le médecin</v>
      </c>
      <c r="C12" s="39" t="s">
        <v>7847</v>
      </c>
    </row>
    <row r="13" spans="1:5" x14ac:dyDescent="0.4">
      <c r="A13" s="39" t="s">
        <v>73</v>
      </c>
      <c r="B13" s="40" t="str">
        <f>IFERROR(INDEX(Mots!$B:$B,MATCH($A13,Mots!$A:$A,0)),"introuvable")</f>
        <v>le travail</v>
      </c>
      <c r="C13" s="39" t="s">
        <v>7848</v>
      </c>
    </row>
    <row r="14" spans="1:5" x14ac:dyDescent="0.4">
      <c r="A14" s="39" t="s">
        <v>5843</v>
      </c>
      <c r="B14" s="40" t="str">
        <f>IFERROR(INDEX(Mots!$B:$B,MATCH($A14,Mots!$A:$A,0)),"introuvable")</f>
        <v>le goût</v>
      </c>
      <c r="C14" s="39" t="s">
        <v>7849</v>
      </c>
    </row>
    <row r="15" spans="1:5" x14ac:dyDescent="0.4">
      <c r="A15" s="39" t="s">
        <v>5512</v>
      </c>
      <c r="B15" s="40" t="str">
        <f>IFERROR(INDEX(Mots!$B:$B,MATCH($A15,Mots!$A:$A,0)),"introuvable")</f>
        <v>le cadeau</v>
      </c>
      <c r="C15" s="39" t="s">
        <v>7850</v>
      </c>
    </row>
    <row r="16" spans="1:5" x14ac:dyDescent="0.4">
      <c r="A16" s="39" t="s">
        <v>2333</v>
      </c>
      <c r="B16" s="40" t="str">
        <f>IFERROR(INDEX(Mots!$B:$B,MATCH($A16,Mots!$A:$A,0)),"introuvable")</f>
        <v>le téléphone ou l'Iphone</v>
      </c>
      <c r="C16" s="39" t="s">
        <v>7851</v>
      </c>
      <c r="D16" s="38" t="s">
        <v>9730</v>
      </c>
    </row>
    <row r="17" spans="1:4" x14ac:dyDescent="0.4">
      <c r="A17" s="39" t="s">
        <v>6202</v>
      </c>
      <c r="B17" s="40" t="str">
        <f>IFERROR(INDEX(Mots!$B:$B,MATCH($A17,Mots!$A:$A,0)),"introuvable")</f>
        <v>le problème</v>
      </c>
      <c r="C17" s="39" t="s">
        <v>7852</v>
      </c>
    </row>
    <row r="18" spans="1:4" x14ac:dyDescent="0.4">
      <c r="A18" s="39" t="s">
        <v>438</v>
      </c>
      <c r="B18" s="40" t="str">
        <f>IFERROR(INDEX(Mots!$B:$B,MATCH($A18,Mots!$A:$A,0)),"introuvable")</f>
        <v>l'entreprise</v>
      </c>
      <c r="C18" s="39" t="s">
        <v>5084</v>
      </c>
    </row>
    <row r="19" spans="1:4" x14ac:dyDescent="0.4">
      <c r="A19" s="39" t="s">
        <v>666</v>
      </c>
      <c r="B19" s="40" t="str">
        <f>IFERROR(INDEX(Mots!$B:$B,MATCH($A19,Mots!$A:$A,0)),"introuvable")</f>
        <v>le public</v>
      </c>
      <c r="C19" s="39" t="s">
        <v>6716</v>
      </c>
      <c r="D19" s="39" t="s">
        <v>7853</v>
      </c>
    </row>
    <row r="20" spans="1:4" x14ac:dyDescent="0.4">
      <c r="A20" s="39" t="s">
        <v>828</v>
      </c>
      <c r="B20" s="40" t="str">
        <f>IFERROR(INDEX(Mots!$B:$B,MATCH($A20,Mots!$A:$A,0)),"introuvable")</f>
        <v>le meuble</v>
      </c>
      <c r="C20" s="39" t="s">
        <v>7854</v>
      </c>
      <c r="D20" s="39"/>
    </row>
    <row r="21" spans="1:4" x14ac:dyDescent="0.4">
      <c r="A21" s="39" t="s">
        <v>1152</v>
      </c>
      <c r="B21" s="40" t="str">
        <f>IFERROR(INDEX(Mots!$B:$B,MATCH($A21,Mots!$A:$A,0)),"introuvable")</f>
        <v>l'uniforme</v>
      </c>
      <c r="C21" s="39" t="s">
        <v>9731</v>
      </c>
      <c r="D21" s="39" t="s">
        <v>7855</v>
      </c>
    </row>
    <row r="22" spans="1:4" x14ac:dyDescent="0.4">
      <c r="A22" s="39" t="s">
        <v>642</v>
      </c>
      <c r="B22" s="40" t="str">
        <f>IFERROR(INDEX(Mots!$B:$B,MATCH($A22,Mots!$A:$A,0)),"introuvable")</f>
        <v>le concert</v>
      </c>
      <c r="C22" s="39" t="s">
        <v>9732</v>
      </c>
      <c r="D22" s="38" t="s">
        <v>7856</v>
      </c>
    </row>
    <row r="23" spans="1:4" x14ac:dyDescent="0.4">
      <c r="A23" s="39" t="s">
        <v>6059</v>
      </c>
      <c r="B23" s="40" t="str">
        <f>IFERROR(INDEX(Mots!$B:$B,MATCH($A23,Mots!$A:$A,0)),"introuvable")</f>
        <v>le pansement</v>
      </c>
      <c r="C23" s="39" t="s">
        <v>7857</v>
      </c>
    </row>
    <row r="24" spans="1:4" x14ac:dyDescent="0.4">
      <c r="A24" s="39" t="s">
        <v>4901</v>
      </c>
      <c r="B24" s="40" t="str">
        <f>IFERROR(INDEX(Mots!$B:$B,MATCH($A24,Mots!$A:$A,0)),"introuvable")</f>
        <v>la poubelle</v>
      </c>
      <c r="C24" s="39" t="s">
        <v>7858</v>
      </c>
    </row>
    <row r="25" spans="1:4" x14ac:dyDescent="0.4">
      <c r="A25" s="39" t="s">
        <v>3228</v>
      </c>
      <c r="B25" s="40" t="str">
        <f>IFERROR(INDEX(Mots!$B:$B,MATCH($A25,Mots!$A:$A,0)),"introuvable")</f>
        <v>l'ordinateur</v>
      </c>
      <c r="C25" s="39" t="s">
        <v>7859</v>
      </c>
    </row>
    <row r="26" spans="1:4" x14ac:dyDescent="0.4">
      <c r="A26" s="39" t="s">
        <v>1390</v>
      </c>
      <c r="B26" s="40" t="str">
        <f>IFERROR(INDEX(Mots!$B:$B,MATCH($A26,Mots!$A:$A,0)),"introuvable")</f>
        <v>le prêt hypothécaire</v>
      </c>
      <c r="C26" s="39" t="s">
        <v>7860</v>
      </c>
    </row>
    <row r="27" spans="1:4" x14ac:dyDescent="0.4">
      <c r="A27" s="39" t="s">
        <v>3504</v>
      </c>
      <c r="B27" s="40" t="str">
        <f>IFERROR(INDEX(Mots!$B:$B,MATCH($A27,Mots!$A:$A,0)),"introuvable")</f>
        <v>attendre</v>
      </c>
      <c r="C27" s="39" t="s">
        <v>7861</v>
      </c>
    </row>
    <row r="28" spans="1:4" x14ac:dyDescent="0.4">
      <c r="A28" s="39" t="s">
        <v>3524</v>
      </c>
      <c r="B28" s="40" t="str">
        <f>IFERROR(INDEX(Mots!$B:$B,MATCH($A28,Mots!$A:$A,0)),"introuvable")</f>
        <v>avoir</v>
      </c>
      <c r="C28" s="39" t="s">
        <v>7862</v>
      </c>
    </row>
    <row r="29" spans="1:4" x14ac:dyDescent="0.4">
      <c r="A29" s="39" t="s">
        <v>3571</v>
      </c>
      <c r="B29" s="40" t="str">
        <f>IFERROR(INDEX(Mots!$B:$B,MATCH($A29,Mots!$A:$A,0)),"introuvable")</f>
        <v>casser</v>
      </c>
      <c r="C29" s="39" t="s">
        <v>7863</v>
      </c>
    </row>
    <row r="30" spans="1:4" x14ac:dyDescent="0.4">
      <c r="A30" s="39" t="s">
        <v>3634</v>
      </c>
      <c r="B30" s="40" t="str">
        <f>IFERROR(INDEX(Mots!$B:$B,MATCH($A30,Mots!$A:$A,0)),"introuvable")</f>
        <v>commencer</v>
      </c>
      <c r="C30" s="39" t="s">
        <v>7864</v>
      </c>
    </row>
    <row r="31" spans="1:4" x14ac:dyDescent="0.4">
      <c r="A31" s="39" t="s">
        <v>3720</v>
      </c>
      <c r="B31" s="40" t="str">
        <f>IFERROR(INDEX(Mots!$B:$B,MATCH($A31,Mots!$A:$A,0)),"introuvable")</f>
        <v>crier</v>
      </c>
      <c r="C31" s="39" t="s">
        <v>7865</v>
      </c>
    </row>
    <row r="32" spans="1:4" x14ac:dyDescent="0.4">
      <c r="A32" s="39" t="s">
        <v>3924</v>
      </c>
      <c r="B32" s="40" t="str">
        <f>IFERROR(INDEX(Mots!$B:$B,MATCH($A32,Mots!$A:$A,0)),"introuvable")</f>
        <v>essayer</v>
      </c>
      <c r="C32" s="39" t="s">
        <v>9733</v>
      </c>
      <c r="D32" s="38" t="s">
        <v>7866</v>
      </c>
    </row>
    <row r="33" spans="1:4" x14ac:dyDescent="0.4">
      <c r="A33" s="39" t="s">
        <v>3973</v>
      </c>
      <c r="B33" s="40" t="str">
        <f>IFERROR(INDEX(Mots!$B:$B,MATCH($A33,Mots!$A:$A,0)),"introuvable")</f>
        <v>finir</v>
      </c>
      <c r="C33" s="39" t="s">
        <v>7867</v>
      </c>
      <c r="D33" s="39" t="s">
        <v>7868</v>
      </c>
    </row>
    <row r="34" spans="1:4" x14ac:dyDescent="0.4">
      <c r="A34" s="39" t="s">
        <v>6994</v>
      </c>
      <c r="B34" s="40" t="str">
        <f>IFERROR(INDEX(Mots!$B:$B,MATCH($A34,Mots!$A:$A,0)),"introuvable")</f>
        <v>parler</v>
      </c>
      <c r="C34" s="39" t="s">
        <v>7869</v>
      </c>
      <c r="D34" s="38" t="s">
        <v>9734</v>
      </c>
    </row>
    <row r="35" spans="1:4" x14ac:dyDescent="0.4">
      <c r="A35" s="39" t="s">
        <v>7014</v>
      </c>
      <c r="B35" s="40" t="str">
        <f>IFERROR(INDEX(Mots!$B:$B,MATCH($A35,Mots!$A:$A,0)),"introuvable")</f>
        <v>payer</v>
      </c>
      <c r="C35" s="39" t="s">
        <v>7870</v>
      </c>
      <c r="D35" s="39"/>
    </row>
    <row r="36" spans="1:4" x14ac:dyDescent="0.4">
      <c r="A36" s="39" t="s">
        <v>7030</v>
      </c>
      <c r="B36" s="40" t="str">
        <f>IFERROR(INDEX(Mots!$B:$B,MATCH($A36,Mots!$A:$A,0)),"introuvable")</f>
        <v>perdre</v>
      </c>
      <c r="C36" s="39" t="s">
        <v>7871</v>
      </c>
    </row>
    <row r="37" spans="1:4" x14ac:dyDescent="0.4">
      <c r="A37" s="39" t="s">
        <v>7221</v>
      </c>
      <c r="B37" s="40" t="str">
        <f>IFERROR(INDEX(Mots!$B:$B,MATCH($A37,Mots!$A:$A,0)),"introuvable")</f>
        <v>rester</v>
      </c>
      <c r="C37" s="39" t="s">
        <v>7872</v>
      </c>
    </row>
    <row r="38" spans="1:4" x14ac:dyDescent="0.4">
      <c r="A38" s="39" t="s">
        <v>7351</v>
      </c>
      <c r="B38" s="40" t="str">
        <f>IFERROR(INDEX(Mots!$B:$B,MATCH($A38,Mots!$A:$A,0)),"introuvable")</f>
        <v>tomber</v>
      </c>
      <c r="C38" s="39" t="s">
        <v>7873</v>
      </c>
    </row>
    <row r="39" spans="1:4" x14ac:dyDescent="0.4">
      <c r="A39" s="39" t="s">
        <v>7436</v>
      </c>
      <c r="B39" s="40" t="str">
        <f>IFERROR(INDEX(Mots!$B:$B,MATCH($A39,Mots!$A:$A,0)),"introuvable")</f>
        <v>vouloir</v>
      </c>
      <c r="C39" s="39" t="s">
        <v>7874</v>
      </c>
      <c r="D39" s="39" t="s">
        <v>7875</v>
      </c>
    </row>
    <row r="40" spans="1:4" x14ac:dyDescent="0.4">
      <c r="A40" s="39" t="s">
        <v>7597</v>
      </c>
      <c r="B40" s="40" t="str">
        <f>IFERROR(INDEX(Mots!$B:$B,MATCH($A40,Mots!$A:$A,0)),"introuvable")</f>
        <v>habiter</v>
      </c>
      <c r="C40" s="39" t="s">
        <v>7876</v>
      </c>
    </row>
    <row r="41" spans="1:4" x14ac:dyDescent="0.4">
      <c r="A41" s="39" t="s">
        <v>6943</v>
      </c>
      <c r="B41" s="40" t="str">
        <f>IFERROR(INDEX(Mots!$B:$B,MATCH($A41,Mots!$A:$A,0)),"introuvable")</f>
        <v>montrer</v>
      </c>
      <c r="C41" s="39" t="s">
        <v>7877</v>
      </c>
      <c r="D41" s="39"/>
    </row>
    <row r="42" spans="1:4" x14ac:dyDescent="0.4">
      <c r="A42" s="39" t="s">
        <v>7198</v>
      </c>
      <c r="B42" s="40" t="str">
        <f>IFERROR(INDEX(Mots!$B:$B,MATCH($A42,Mots!$A:$A,0)),"introuvable")</f>
        <v>réparer</v>
      </c>
      <c r="C42" s="39" t="s">
        <v>9735</v>
      </c>
      <c r="D42" s="39" t="s">
        <v>7878</v>
      </c>
    </row>
    <row r="43" spans="1:4" x14ac:dyDescent="0.4">
      <c r="A43" s="39" t="s">
        <v>7282</v>
      </c>
      <c r="B43" s="40" t="str">
        <f>IFERROR(INDEX(Mots!$B:$B,MATCH($A43,Mots!$A:$A,0)),"introuvable")</f>
        <v>se souvenir</v>
      </c>
      <c r="C43" s="39" t="s">
        <v>7879</v>
      </c>
    </row>
    <row r="44" spans="1:4" x14ac:dyDescent="0.4">
      <c r="A44" s="39" t="s">
        <v>7569</v>
      </c>
      <c r="B44" s="40" t="str">
        <f>IFERROR(INDEX(Mots!$B:$B,MATCH($A44,Mots!$A:$A,0)),"introuvable")</f>
        <v>interdire</v>
      </c>
      <c r="C44" s="39" t="s">
        <v>7880</v>
      </c>
    </row>
    <row r="45" spans="1:4" x14ac:dyDescent="0.4">
      <c r="A45" s="39" t="s">
        <v>7608</v>
      </c>
      <c r="B45" s="40" t="str">
        <f>IFERROR(INDEX(Mots!$B:$B,MATCH($A45,Mots!$A:$A,0)),"introuvable")</f>
        <v>griller</v>
      </c>
      <c r="C45" s="39" t="s">
        <v>7881</v>
      </c>
    </row>
    <row r="46" spans="1:4" x14ac:dyDescent="0.4">
      <c r="A46" s="39" t="s">
        <v>9535</v>
      </c>
      <c r="B46" s="40" t="str">
        <f>IFERROR(INDEX(Mots!$B:$B,MATCH($A46,Mots!$A:$A,0)),"introuvable")</f>
        <v>joyeux</v>
      </c>
      <c r="C46" s="39" t="s">
        <v>7882</v>
      </c>
      <c r="D46" s="38" t="s">
        <v>9736</v>
      </c>
    </row>
    <row r="47" spans="1:4" x14ac:dyDescent="0.4">
      <c r="A47" s="39" t="s">
        <v>6936</v>
      </c>
      <c r="B47" s="40" t="str">
        <f>IFERROR(INDEX(Mots!$B:$B,MATCH($A47,Mots!$A:$A,0)),"introuvable")</f>
        <v>merveilleux</v>
      </c>
      <c r="C47" s="39" t="s">
        <v>9737</v>
      </c>
      <c r="D47" s="39" t="s">
        <v>7883</v>
      </c>
    </row>
    <row r="48" spans="1:4" x14ac:dyDescent="0.4">
      <c r="A48" s="39" t="s">
        <v>9516</v>
      </c>
      <c r="B48" s="40" t="str">
        <f>IFERROR(INDEX(Mots!$B:$B,MATCH($A48,Mots!$A:$A,0)),"introuvable")</f>
        <v>pareil</v>
      </c>
      <c r="C48" s="39" t="s">
        <v>7884</v>
      </c>
      <c r="D48" s="39" t="s">
        <v>7885</v>
      </c>
    </row>
    <row r="49" spans="1:4" x14ac:dyDescent="0.4">
      <c r="A49" s="39" t="s">
        <v>7390</v>
      </c>
      <c r="B49" s="40" t="str">
        <f>IFERROR(INDEX(Mots!$B:$B,MATCH($A49,Mots!$A:$A,0)),"introuvable")</f>
        <v>urgent</v>
      </c>
      <c r="C49" s="39" t="s">
        <v>7886</v>
      </c>
    </row>
    <row r="50" spans="1:4" x14ac:dyDescent="0.4">
      <c r="A50" s="39" t="s">
        <v>3447</v>
      </c>
      <c r="B50" s="40" t="str">
        <f>IFERROR(INDEX(Mots!$B:$B,MATCH($A50,Mots!$A:$A,0)),"introuvable")</f>
        <v>aimable</v>
      </c>
      <c r="C50" s="39" t="s">
        <v>9738</v>
      </c>
      <c r="D50" s="39" t="s">
        <v>7887</v>
      </c>
    </row>
    <row r="51" spans="1:4" x14ac:dyDescent="0.4">
      <c r="A51" s="39" t="s">
        <v>3666</v>
      </c>
      <c r="B51" s="40" t="str">
        <f>IFERROR(INDEX(Mots!$B:$B,MATCH($A51,Mots!$A:$A,0)),"introuvable")</f>
        <v>confortable</v>
      </c>
      <c r="C51" s="39" t="s">
        <v>7789</v>
      </c>
    </row>
    <row r="52" spans="1:4" x14ac:dyDescent="0.4">
      <c r="A52" s="39" t="s">
        <v>4044</v>
      </c>
      <c r="B52" s="40" t="str">
        <f>IFERROR(INDEX(Mots!$B:$B,MATCH($A52,Mots!$A:$A,0)),"introuvable")</f>
        <v>important</v>
      </c>
      <c r="C52" s="39" t="s">
        <v>7888</v>
      </c>
    </row>
    <row r="53" spans="1:4" x14ac:dyDescent="0.4">
      <c r="A53" s="39" t="s">
        <v>4024</v>
      </c>
      <c r="B53" s="40" t="str">
        <f>IFERROR(INDEX(Mots!$B:$B,MATCH($A53,Mots!$A:$A,0)),"introuvable")</f>
        <v>habituel</v>
      </c>
      <c r="C53" s="39" t="s">
        <v>7889</v>
      </c>
    </row>
    <row r="54" spans="1:4" x14ac:dyDescent="0.4">
      <c r="A54" s="39" t="s">
        <v>6909</v>
      </c>
      <c r="B54" s="40" t="str">
        <f>IFERROR(INDEX(Mots!$B:$B,MATCH($A54,Mots!$A:$A,0)),"introuvable")</f>
        <v>malin</v>
      </c>
      <c r="C54" s="39" t="s">
        <v>7890</v>
      </c>
    </row>
    <row r="55" spans="1:4" x14ac:dyDescent="0.4">
      <c r="A55" s="39" t="s">
        <v>7248</v>
      </c>
      <c r="B55" s="40" t="str">
        <f>IFERROR(INDEX(Mots!$B:$B,MATCH($A55,Mots!$A:$A,0)),"introuvable")</f>
        <v>rusé</v>
      </c>
      <c r="C55" s="39" t="s">
        <v>7890</v>
      </c>
    </row>
    <row r="56" spans="1:4" x14ac:dyDescent="0.4">
      <c r="A56" s="39" t="s">
        <v>7316</v>
      </c>
      <c r="B56" s="40" t="str">
        <f>IFERROR(INDEX(Mots!$B:$B,MATCH($A56,Mots!$A:$A,0)),"introuvable")</f>
        <v>souple</v>
      </c>
      <c r="C56" s="39" t="s">
        <v>7891</v>
      </c>
    </row>
    <row r="57" spans="1:4" x14ac:dyDescent="0.4">
      <c r="A57" s="39" t="s">
        <v>7368</v>
      </c>
      <c r="B57" s="40" t="str">
        <f>IFERROR(INDEX(Mots!$B:$B,MATCH($A57,Mots!$A:$A,0)),"introuvable")</f>
        <v>tranquille</v>
      </c>
      <c r="C57" s="39" t="s">
        <v>7892</v>
      </c>
      <c r="D57" s="38" t="s">
        <v>5532</v>
      </c>
    </row>
    <row r="58" spans="1:4" x14ac:dyDescent="0.4">
      <c r="A58" s="39" t="s">
        <v>7442</v>
      </c>
      <c r="B58" s="40" t="str">
        <f>IFERROR(INDEX(Mots!$B:$B,MATCH($A58,Mots!$A:$A,0)),"introuvable")</f>
        <v>vraiment</v>
      </c>
      <c r="C58" s="39" t="s">
        <v>7893</v>
      </c>
      <c r="D58" s="38" t="s">
        <v>9739</v>
      </c>
    </row>
    <row r="59" spans="1:4" x14ac:dyDescent="0.4">
      <c r="A59" s="39" t="s">
        <v>1697</v>
      </c>
      <c r="B59" s="40" t="str">
        <f>IFERROR(INDEX(Mots!$B:$B,MATCH($A59,Mots!$A:$A,0)),"introuvable")</f>
        <v>la peur</v>
      </c>
      <c r="C59" s="39" t="s">
        <v>7894</v>
      </c>
    </row>
    <row r="60" spans="1:4" x14ac:dyDescent="0.4">
      <c r="A60" s="39" t="s">
        <v>1729</v>
      </c>
      <c r="B60" s="40" t="str">
        <f>IFERROR(INDEX(Mots!$B:$B,MATCH($A60,Mots!$A:$A,0)),"introuvable")</f>
        <v>la gratitude</v>
      </c>
      <c r="C60" s="39" t="s">
        <v>7895</v>
      </c>
    </row>
    <row r="61" spans="1:4" x14ac:dyDescent="0.4">
      <c r="A61" s="39" t="s">
        <v>1744</v>
      </c>
      <c r="B61" s="40" t="str">
        <f>IFERROR(INDEX(Mots!$B:$B,MATCH($A61,Mots!$A:$A,0)),"introuvable")</f>
        <v>la surprise</v>
      </c>
      <c r="C61" s="39" t="s">
        <v>7896</v>
      </c>
    </row>
    <row r="62" spans="1:4" x14ac:dyDescent="0.4">
      <c r="A62" s="39" t="s">
        <v>6804</v>
      </c>
      <c r="B62" s="40" t="str">
        <f>IFERROR(INDEX(Mots!$B:$B,MATCH($A62,Mots!$A:$A,0)),"introuvable")</f>
        <v>l'inquiétude</v>
      </c>
      <c r="C62" s="39" t="s">
        <v>7897</v>
      </c>
    </row>
    <row r="63" spans="1:4" x14ac:dyDescent="0.4">
      <c r="A63" s="39" t="s">
        <v>4649</v>
      </c>
      <c r="B63" s="40" t="str">
        <f>IFERROR(INDEX(Mots!$B:$B,MATCH($A63,Mots!$A:$A,0)),"introuvable")</f>
        <v>la méfiance</v>
      </c>
      <c r="C63" s="39" t="s">
        <v>7898</v>
      </c>
    </row>
    <row r="64" spans="1:4" x14ac:dyDescent="0.4">
      <c r="A64" s="39" t="s">
        <v>4357</v>
      </c>
      <c r="B64" s="40" t="str">
        <f>IFERROR(INDEX(Mots!$B:$B,MATCH($A64,Mots!$A:$A,0)),"introuvable")</f>
        <v>la dispute</v>
      </c>
      <c r="C64" s="39" t="s">
        <v>7899</v>
      </c>
      <c r="D64" s="38" t="s">
        <v>9740</v>
      </c>
    </row>
    <row r="65" spans="1:4" x14ac:dyDescent="0.4">
      <c r="A65" s="39" t="s">
        <v>957</v>
      </c>
      <c r="B65" s="40" t="str">
        <f>IFERROR(INDEX(Mots!$B:$B,MATCH($A65,Mots!$A:$A,0)),"introuvable")</f>
        <v>maintenant</v>
      </c>
      <c r="C65" s="39" t="s">
        <v>7900</v>
      </c>
    </row>
    <row r="66" spans="1:4" x14ac:dyDescent="0.4">
      <c r="A66" s="39" t="s">
        <v>988</v>
      </c>
      <c r="B66" s="40" t="str">
        <f>IFERROR(INDEX(Mots!$B:$B,MATCH($A66,Mots!$A:$A,0)),"introuvable")</f>
        <v>parfois</v>
      </c>
      <c r="C66" s="39" t="s">
        <v>7901</v>
      </c>
    </row>
    <row r="67" spans="1:4" x14ac:dyDescent="0.4">
      <c r="A67" s="39" t="s">
        <v>985</v>
      </c>
      <c r="B67" s="40" t="str">
        <f>IFERROR(INDEX(Mots!$B:$B,MATCH($A67,Mots!$A:$A,0)),"introuvable")</f>
        <v>souvent</v>
      </c>
      <c r="C67" s="39" t="s">
        <v>7902</v>
      </c>
    </row>
    <row r="68" spans="1:4" x14ac:dyDescent="0.4">
      <c r="A68" s="39" t="s">
        <v>7117</v>
      </c>
      <c r="B68" s="40" t="str">
        <f>IFERROR(INDEX(Mots!$B:$B,MATCH($A68,Mots!$A:$A,0)),"introuvable")</f>
        <v>presque</v>
      </c>
      <c r="C68" s="39" t="s">
        <v>7903</v>
      </c>
    </row>
    <row r="69" spans="1:4" x14ac:dyDescent="0.4">
      <c r="A69" s="39" t="s">
        <v>9585</v>
      </c>
      <c r="B69" s="40" t="str">
        <f>IFERROR(INDEX(Mots!$B:$B,MATCH($A69,Mots!$A:$A,0)),"introuvable")</f>
        <v>environ</v>
      </c>
      <c r="C69" s="39" t="s">
        <v>7904</v>
      </c>
    </row>
    <row r="70" spans="1:4" x14ac:dyDescent="0.4">
      <c r="A70" s="39" t="s">
        <v>3936</v>
      </c>
      <c r="B70" s="40" t="str">
        <f>IFERROR(INDEX(Mots!$B:$B,MATCH($A70,Mots!$A:$A,0)),"introuvable")</f>
        <v>exprès</v>
      </c>
      <c r="C70" s="39" t="s">
        <v>7905</v>
      </c>
    </row>
    <row r="71" spans="1:4" x14ac:dyDescent="0.4">
      <c r="A71" s="39" t="s">
        <v>7304</v>
      </c>
      <c r="B71" s="40" t="str">
        <f>IFERROR(INDEX(Mots!$B:$B,MATCH($A71,Mots!$A:$A,0)),"introuvable")</f>
        <v>seulement</v>
      </c>
      <c r="C71" s="39" t="s">
        <v>7906</v>
      </c>
    </row>
    <row r="72" spans="1:4" x14ac:dyDescent="0.4">
      <c r="A72" s="39" t="s">
        <v>3500</v>
      </c>
      <c r="B72" s="40" t="str">
        <f>IFERROR(INDEX(Mots!$B:$B,MATCH($A72,Mots!$A:$A,0)),"introuvable")</f>
        <v>assez</v>
      </c>
      <c r="C72" s="39" t="s">
        <v>7907</v>
      </c>
    </row>
    <row r="73" spans="1:4" x14ac:dyDescent="0.4">
      <c r="A73" s="39" t="s">
        <v>3901</v>
      </c>
      <c r="B73" s="40" t="str">
        <f>IFERROR(INDEX(Mots!$B:$B,MATCH($A73,Mots!$A:$A,0)),"introuvable")</f>
        <v>ensuite</v>
      </c>
      <c r="C73" s="39" t="s">
        <v>7908</v>
      </c>
    </row>
    <row r="74" spans="1:4" x14ac:dyDescent="0.4">
      <c r="A74" s="39" t="s">
        <v>3889</v>
      </c>
      <c r="B74" s="40" t="str">
        <f>IFERROR(INDEX(Mots!$B:$B,MATCH($A74,Mots!$A:$A,0)),"introuvable")</f>
        <v>enfin</v>
      </c>
      <c r="C74" s="39" t="s">
        <v>7909</v>
      </c>
    </row>
    <row r="75" spans="1:4" x14ac:dyDescent="0.4">
      <c r="A75" s="39" t="s">
        <v>3559</v>
      </c>
      <c r="B75" s="40" t="str">
        <f>IFERROR(INDEX(Mots!$B:$B,MATCH($A75,Mots!$A:$A,0)),"introuvable")</f>
        <v>brusquement</v>
      </c>
      <c r="C75" s="39" t="s">
        <v>7910</v>
      </c>
    </row>
    <row r="76" spans="1:4" x14ac:dyDescent="0.4">
      <c r="A76" s="39"/>
      <c r="B76" s="40"/>
      <c r="C76" s="39"/>
    </row>
    <row r="77" spans="1:4" x14ac:dyDescent="0.4">
      <c r="A77" s="38" t="s">
        <v>421</v>
      </c>
      <c r="B77" s="40" t="str">
        <f>IFERROR(INDEX(Mots!$B:$B,MATCH($A77,Mots!$A:$A,0)),"introuvable")</f>
        <v>la réunion</v>
      </c>
      <c r="C77" s="39" t="s">
        <v>9741</v>
      </c>
    </row>
    <row r="78" spans="1:4" x14ac:dyDescent="0.4">
      <c r="A78" s="38" t="s">
        <v>446</v>
      </c>
      <c r="B78" s="40" t="str">
        <f>IFERROR(INDEX(Mots!$B:$B,MATCH($A78,Mots!$A:$A,0)),"introuvable")</f>
        <v>l'équipe</v>
      </c>
      <c r="C78" s="39" t="s">
        <v>5856</v>
      </c>
      <c r="D78" s="38" t="s">
        <v>9742</v>
      </c>
    </row>
    <row r="79" spans="1:4" x14ac:dyDescent="0.4">
      <c r="A79" s="38" t="s">
        <v>459</v>
      </c>
      <c r="B79" s="40" t="str">
        <f>IFERROR(INDEX(Mots!$B:$B,MATCH($A79,Mots!$A:$A,0)),"introuvable")</f>
        <v>le mari et la femme</v>
      </c>
      <c r="C79" s="39" t="s">
        <v>9743</v>
      </c>
    </row>
    <row r="80" spans="1:4" x14ac:dyDescent="0.4">
      <c r="A80" s="38" t="s">
        <v>467</v>
      </c>
      <c r="B80" s="40" t="str">
        <f>IFERROR(INDEX(Mots!$B:$B,MATCH($A80,Mots!$A:$A,0)),"introuvable")</f>
        <v>la mère - la maman</v>
      </c>
      <c r="C80" s="39" t="s">
        <v>9744</v>
      </c>
      <c r="D80" s="38" t="s">
        <v>9746</v>
      </c>
    </row>
    <row r="81" spans="1:4" x14ac:dyDescent="0.4">
      <c r="A81" s="38" t="s">
        <v>470</v>
      </c>
      <c r="B81" s="40" t="str">
        <f>IFERROR(INDEX(Mots!$B:$B,MATCH($A81,Mots!$A:$A,0)),"introuvable")</f>
        <v>le père - le papa</v>
      </c>
      <c r="C81" s="39" t="s">
        <v>9745</v>
      </c>
      <c r="D81" s="38" t="s">
        <v>9747</v>
      </c>
    </row>
    <row r="82" spans="1:4" x14ac:dyDescent="0.4">
      <c r="A82" s="38" t="s">
        <v>473</v>
      </c>
      <c r="B82" s="40" t="str">
        <f>IFERROR(INDEX(Mots!$B:$B,MATCH($A82,Mots!$A:$A,0)),"introuvable")</f>
        <v>les enfants</v>
      </c>
      <c r="C82" s="39" t="s">
        <v>9750</v>
      </c>
      <c r="D82" s="39" t="s">
        <v>9749</v>
      </c>
    </row>
    <row r="83" spans="1:4" x14ac:dyDescent="0.4">
      <c r="A83" s="38" t="s">
        <v>481</v>
      </c>
      <c r="B83" s="40" t="str">
        <f>IFERROR(INDEX(Mots!$B:$B,MATCH($A83,Mots!$A:$A,0)),"introuvable")</f>
        <v>le bébé</v>
      </c>
      <c r="C83" s="39" t="s">
        <v>9751</v>
      </c>
    </row>
    <row r="84" spans="1:4" x14ac:dyDescent="0.4">
      <c r="A84" s="38" t="s">
        <v>506</v>
      </c>
      <c r="B84" s="40" t="str">
        <f>IFERROR(INDEX(Mots!$B:$B,MATCH($A84,Mots!$A:$A,0)),"introuvable")</f>
        <v>la grand-mère</v>
      </c>
      <c r="C84" s="39" t="s">
        <v>9752</v>
      </c>
    </row>
    <row r="85" spans="1:4" x14ac:dyDescent="0.4">
      <c r="A85" s="38" t="s">
        <v>510</v>
      </c>
      <c r="B85" s="40" t="str">
        <f>IFERROR(INDEX(Mots!$B:$B,MATCH($A85,Mots!$A:$A,0)),"introuvable")</f>
        <v>le grand-père</v>
      </c>
      <c r="C85" s="39" t="s">
        <v>9753</v>
      </c>
    </row>
    <row r="86" spans="1:4" x14ac:dyDescent="0.4">
      <c r="A86" s="38" t="s">
        <v>526</v>
      </c>
      <c r="B86" s="40" t="str">
        <f>IFERROR(INDEX(Mots!$B:$B,MATCH($A86,Mots!$A:$A,0)),"introuvable")</f>
        <v>la tante</v>
      </c>
      <c r="C86" s="39" t="s">
        <v>9754</v>
      </c>
    </row>
    <row r="87" spans="1:4" x14ac:dyDescent="0.4">
      <c r="A87" s="38" t="s">
        <v>531</v>
      </c>
      <c r="B87" s="40" t="str">
        <f>IFERROR(INDEX(Mots!$B:$B,MATCH($A87,Mots!$A:$A,0)),"introuvable")</f>
        <v>l'oncle</v>
      </c>
      <c r="C87" s="39" t="s">
        <v>9755</v>
      </c>
    </row>
    <row r="88" spans="1:4" x14ac:dyDescent="0.4">
      <c r="A88" s="38" t="s">
        <v>535</v>
      </c>
      <c r="B88" s="40" t="str">
        <f>IFERROR(INDEX(Mots!$B:$B,MATCH($A88,Mots!$A:$A,0)),"introuvable")</f>
        <v>l'homme</v>
      </c>
      <c r="C88" s="39" t="s">
        <v>9756</v>
      </c>
    </row>
    <row r="89" spans="1:4" x14ac:dyDescent="0.4">
      <c r="A89" s="38" t="s">
        <v>544</v>
      </c>
      <c r="B89" s="40" t="str">
        <f>IFERROR(INDEX(Mots!$B:$B,MATCH($A89,Mots!$A:$A,0)),"introuvable")</f>
        <v>la femme</v>
      </c>
      <c r="C89" s="39" t="s">
        <v>9757</v>
      </c>
    </row>
    <row r="90" spans="1:4" x14ac:dyDescent="0.4">
      <c r="A90" s="38" t="s">
        <v>573</v>
      </c>
      <c r="B90" s="40" t="str">
        <f>IFERROR(INDEX(Mots!$B:$B,MATCH($A90,Mots!$A:$A,0)),"introuvable")</f>
        <v>l'essence pour tondeuse</v>
      </c>
      <c r="C90" s="39" t="s">
        <v>9758</v>
      </c>
    </row>
    <row r="91" spans="1:4" x14ac:dyDescent="0.4">
      <c r="A91" s="38" t="s">
        <v>622</v>
      </c>
      <c r="B91" s="40" t="str">
        <f>IFERROR(INDEX(Mots!$B:$B,MATCH($A91,Mots!$A:$A,0)),"introuvable")</f>
        <v>la mélodie</v>
      </c>
      <c r="C91" s="39" t="s">
        <v>5260</v>
      </c>
    </row>
    <row r="92" spans="1:4" x14ac:dyDescent="0.4">
      <c r="A92" s="38" t="s">
        <v>630</v>
      </c>
      <c r="B92" s="40" t="str">
        <f>IFERROR(INDEX(Mots!$B:$B,MATCH($A92,Mots!$A:$A,0)),"introuvable")</f>
        <v>la répétition</v>
      </c>
      <c r="C92" s="39" t="s">
        <v>9759</v>
      </c>
    </row>
    <row r="93" spans="1:4" x14ac:dyDescent="0.4">
      <c r="A93" s="38" t="s">
        <v>634</v>
      </c>
      <c r="B93" s="40" t="str">
        <f>IFERROR(INDEX(Mots!$B:$B,MATCH($A93,Mots!$A:$A,0)),"introuvable")</f>
        <v>la scène</v>
      </c>
      <c r="C93" s="39" t="s">
        <v>9760</v>
      </c>
    </row>
    <row r="94" spans="1:4" x14ac:dyDescent="0.4">
      <c r="A94" s="38" t="s">
        <v>646</v>
      </c>
      <c r="B94" s="40" t="str">
        <f>IFERROR(INDEX(Mots!$B:$B,MATCH($A94,Mots!$A:$A,0)),"introuvable")</f>
        <v>le loisir</v>
      </c>
      <c r="C94" s="39" t="s">
        <v>5864</v>
      </c>
    </row>
    <row r="95" spans="1:4" x14ac:dyDescent="0.4">
      <c r="A95" s="38" t="s">
        <v>678</v>
      </c>
      <c r="B95" s="40" t="str">
        <f>IFERROR(INDEX(Mots!$B:$B,MATCH($A95,Mots!$A:$A,0)),"introuvable")</f>
        <v>le spectacle</v>
      </c>
      <c r="C95" s="39" t="s">
        <v>643</v>
      </c>
      <c r="D95" s="38" t="s">
        <v>9761</v>
      </c>
    </row>
    <row r="96" spans="1:4" x14ac:dyDescent="0.4">
      <c r="A96" s="38" t="s">
        <v>690</v>
      </c>
      <c r="B96" s="40" t="str">
        <f>IFERROR(INDEX(Mots!$B:$B,MATCH($A96,Mots!$A:$A,0)),"introuvable")</f>
        <v>les paroles</v>
      </c>
      <c r="C96" s="39" t="s">
        <v>9762</v>
      </c>
      <c r="D96" s="38" t="s">
        <v>9763</v>
      </c>
    </row>
    <row r="97" spans="1:4" x14ac:dyDescent="0.4">
      <c r="A97" s="38" t="s">
        <v>695</v>
      </c>
      <c r="B97" s="40" t="str">
        <f>IFERROR(INDEX(Mots!$B:$B,MATCH($A97,Mots!$A:$A,0)),"introuvable")</f>
        <v>l'harmonie</v>
      </c>
      <c r="C97" s="39" t="s">
        <v>9764</v>
      </c>
    </row>
    <row r="98" spans="1:4" x14ac:dyDescent="0.4">
      <c r="A98" s="38" t="s">
        <v>710</v>
      </c>
      <c r="B98" s="40" t="str">
        <f>IFERROR(INDEX(Mots!$B:$B,MATCH($A98,Mots!$A:$A,0)),"introuvable")</f>
        <v>le lave-vaisselle</v>
      </c>
      <c r="C98" s="39" t="s">
        <v>9765</v>
      </c>
    </row>
    <row r="99" spans="1:4" x14ac:dyDescent="0.4">
      <c r="A99" s="38" t="s">
        <v>724</v>
      </c>
      <c r="B99" s="40" t="str">
        <f>IFERROR(INDEX(Mots!$B:$B,MATCH($A99,Mots!$A:$A,0)),"introuvable")</f>
        <v>la cuisinière vitroceram</v>
      </c>
      <c r="C99" s="39" t="s">
        <v>9766</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9767</v>
      </c>
    </row>
    <row r="102" spans="1:4" x14ac:dyDescent="0.4">
      <c r="A102" s="38" t="s">
        <v>832</v>
      </c>
      <c r="B102" s="40" t="str">
        <f>IFERROR(INDEX(Mots!$B:$B,MATCH($A102,Mots!$A:$A,0)),"introuvable")</f>
        <v>la télévision</v>
      </c>
      <c r="C102" s="39" t="s">
        <v>9768</v>
      </c>
      <c r="D102" s="38" t="s">
        <v>9769</v>
      </c>
    </row>
    <row r="103" spans="1:4" x14ac:dyDescent="0.4">
      <c r="A103" s="38" t="s">
        <v>916</v>
      </c>
      <c r="B103" s="40" t="str">
        <f>IFERROR(INDEX(Mots!$B:$B,MATCH($A103,Mots!$A:$A,0)),"introuvable")</f>
        <v>le siècle</v>
      </c>
      <c r="C103" s="39" t="s">
        <v>9770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9771</v>
      </c>
      <c r="D105" s="38" t="s">
        <v>9772</v>
      </c>
    </row>
    <row r="106" spans="1:4" x14ac:dyDescent="0.4">
      <c r="A106" s="38" t="s">
        <v>1013</v>
      </c>
      <c r="B106" s="40" t="str">
        <f>IFERROR(INDEX(Mots!$B:$B,MATCH($A106,Mots!$A:$A,0)),"introuvable")</f>
        <v>le coeur</v>
      </c>
      <c r="C106" s="39" t="s">
        <v>9773</v>
      </c>
    </row>
    <row r="107" spans="1:4" x14ac:dyDescent="0.4">
      <c r="A107" s="38" t="s">
        <v>1029</v>
      </c>
      <c r="B107" s="40" t="str">
        <f>IFERROR(INDEX(Mots!$B:$B,MATCH($A107,Mots!$A:$A,0)),"introuvable")</f>
        <v>la tête</v>
      </c>
      <c r="C107" s="39" t="s">
        <v>9774</v>
      </c>
    </row>
    <row r="108" spans="1:4" x14ac:dyDescent="0.4">
      <c r="A108" s="38" t="s">
        <v>1032</v>
      </c>
      <c r="B108" s="40" t="str">
        <f>IFERROR(INDEX(Mots!$B:$B,MATCH($A108,Mots!$A:$A,0)),"introuvable")</f>
        <v>les cheveux</v>
      </c>
      <c r="C108" s="39" t="s">
        <v>9775</v>
      </c>
    </row>
    <row r="109" spans="1:4" x14ac:dyDescent="0.4">
      <c r="A109" s="38" t="s">
        <v>1147</v>
      </c>
      <c r="B109" s="40" t="str">
        <f>IFERROR(INDEX(Mots!$B:$B,MATCH($A109,Mots!$A:$A,0)),"introuvable")</f>
        <v>le pupitre</v>
      </c>
      <c r="C109" s="39" t="s">
        <v>9776</v>
      </c>
    </row>
    <row r="110" spans="1:4" x14ac:dyDescent="0.4">
      <c r="A110" s="38" t="s">
        <v>1175</v>
      </c>
      <c r="B110" s="40" t="str">
        <f>IFERROR(INDEX(Mots!$B:$B,MATCH($A110,Mots!$A:$A,0)),"introuvable")</f>
        <v>la vache</v>
      </c>
      <c r="C110" s="39" t="s">
        <v>9777</v>
      </c>
    </row>
    <row r="111" spans="1:4" x14ac:dyDescent="0.4">
      <c r="A111" s="38" t="s">
        <v>1180</v>
      </c>
      <c r="B111" s="40" t="str">
        <f>IFERROR(INDEX(Mots!$B:$B,MATCH($A111,Mots!$A:$A,0)),"introuvable")</f>
        <v>le cochon</v>
      </c>
      <c r="C111" s="39" t="s">
        <v>2911</v>
      </c>
      <c r="D111" s="38" t="s">
        <v>9780</v>
      </c>
    </row>
    <row r="112" spans="1:4" x14ac:dyDescent="0.4">
      <c r="A112" s="38" t="s">
        <v>1185</v>
      </c>
      <c r="B112" s="40" t="str">
        <f>IFERROR(INDEX(Mots!$B:$B,MATCH($A112,Mots!$A:$A,0)),"introuvable")</f>
        <v>le mouton</v>
      </c>
      <c r="C112" s="39" t="s">
        <v>9778</v>
      </c>
      <c r="D112" s="38" t="s">
        <v>9779</v>
      </c>
    </row>
    <row r="113" spans="1:4" x14ac:dyDescent="0.4">
      <c r="A113" s="38" t="s">
        <v>1190</v>
      </c>
      <c r="B113" s="40" t="str">
        <f>IFERROR(INDEX(Mots!$B:$B,MATCH($A113,Mots!$A:$A,0)),"introuvable")</f>
        <v>la poule</v>
      </c>
      <c r="C113" s="39" t="s">
        <v>9781</v>
      </c>
      <c r="D113" s="38" t="s">
        <v>9782</v>
      </c>
    </row>
    <row r="114" spans="1:4" x14ac:dyDescent="0.4">
      <c r="A114" s="38" t="s">
        <v>1212</v>
      </c>
      <c r="B114" s="40" t="str">
        <f>IFERROR(INDEX(Mots!$B:$B,MATCH($A114,Mots!$A:$A,0)),"introuvable")</f>
        <v>le chat</v>
      </c>
      <c r="C114" s="39" t="s">
        <v>9783</v>
      </c>
    </row>
    <row r="115" spans="1:4" x14ac:dyDescent="0.4">
      <c r="A115" s="38" t="s">
        <v>1216</v>
      </c>
      <c r="B115" s="40" t="str">
        <f>IFERROR(INDEX(Mots!$B:$B,MATCH($A115,Mots!$A:$A,0)),"introuvable")</f>
        <v>le chien</v>
      </c>
      <c r="C115" s="39" t="s">
        <v>9784</v>
      </c>
    </row>
    <row r="116" spans="1:4" x14ac:dyDescent="0.4">
      <c r="A116" s="38" t="s">
        <v>1398</v>
      </c>
      <c r="B116" s="40" t="str">
        <f>IFERROR(INDEX(Mots!$B:$B,MATCH($A116,Mots!$A:$A,0)),"introuvable")</f>
        <v>la pièce de monnaie</v>
      </c>
      <c r="C116" s="39" t="s">
        <v>9785</v>
      </c>
    </row>
    <row r="117" spans="1:4" x14ac:dyDescent="0.4">
      <c r="A117" s="38" t="s">
        <v>1422</v>
      </c>
      <c r="B117" s="40" t="str">
        <f>IFERROR(INDEX(Mots!$B:$B,MATCH($A117,Mots!$A:$A,0)),"introuvable")</f>
        <v>le virement</v>
      </c>
      <c r="C117" s="39" t="s">
        <v>9786</v>
      </c>
      <c r="D117" s="38" t="s">
        <v>9787</v>
      </c>
    </row>
    <row r="118" spans="1:4" x14ac:dyDescent="0.4">
      <c r="A118" s="38" t="s">
        <v>1568</v>
      </c>
      <c r="B118" s="40" t="str">
        <f>IFERROR(INDEX(Mots!$B:$B,MATCH($A118,Mots!$A:$A,0)),"introuvable")</f>
        <v>les souliers</v>
      </c>
      <c r="C118" s="39" t="s">
        <v>9788</v>
      </c>
      <c r="D118" s="38" t="s">
        <v>9789</v>
      </c>
    </row>
    <row r="119" spans="1:4" x14ac:dyDescent="0.4">
      <c r="A119" s="38" t="s">
        <v>1627</v>
      </c>
      <c r="B119" s="40" t="str">
        <f>IFERROR(INDEX(Mots!$B:$B,MATCH($A119,Mots!$A:$A,0)),"introuvable")</f>
        <v>la rivière</v>
      </c>
      <c r="C119" s="39" t="s">
        <v>9790</v>
      </c>
    </row>
    <row r="120" spans="1:4" x14ac:dyDescent="0.4">
      <c r="A120" s="38" t="s">
        <v>1829</v>
      </c>
      <c r="B120" s="40" t="str">
        <f>IFERROR(INDEX(Mots!$B:$B,MATCH($A120,Mots!$A:$A,0)),"introuvable")</f>
        <v>l'argent</v>
      </c>
      <c r="C120" s="39" t="s">
        <v>9791</v>
      </c>
    </row>
    <row r="121" spans="1:4" x14ac:dyDescent="0.4">
      <c r="A121" s="38" t="s">
        <v>9396</v>
      </c>
      <c r="B121" s="40" t="str">
        <f>IFERROR(INDEX(Mots!$B:$B,MATCH($A121,Mots!$A:$A,0)),"introuvable")</f>
        <v>la pomme de terre</v>
      </c>
      <c r="C121" s="39" t="s">
        <v>9792</v>
      </c>
    </row>
    <row r="122" spans="1:4" x14ac:dyDescent="0.4">
      <c r="A122" s="38" t="s">
        <v>2200</v>
      </c>
      <c r="B122" s="40" t="str">
        <f>IFERROR(INDEX(Mots!$B:$B,MATCH($A122,Mots!$A:$A,0)),"introuvable")</f>
        <v>le cuisinier</v>
      </c>
      <c r="C122" s="39" t="s">
        <v>9793</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9794</v>
      </c>
    </row>
    <row r="125" spans="1:4" x14ac:dyDescent="0.4">
      <c r="A125" s="38" t="s">
        <v>2721</v>
      </c>
      <c r="B125" s="40" t="str">
        <f>IFERROR(INDEX(Mots!$B:$B,MATCH($A125,Mots!$A:$A,0)),"introuvable")</f>
        <v>l'ami</v>
      </c>
      <c r="C125" s="39" t="s">
        <v>5676</v>
      </c>
      <c r="D125" s="38" t="s">
        <v>9795</v>
      </c>
    </row>
    <row r="126" spans="1:4" x14ac:dyDescent="0.4">
      <c r="A126" s="38" t="s">
        <v>2732</v>
      </c>
      <c r="B126" s="40" t="str">
        <f>IFERROR(INDEX(Mots!$B:$B,MATCH($A126,Mots!$A:$A,0)),"introuvable")</f>
        <v>le magasin</v>
      </c>
      <c r="C126" s="39" t="s">
        <v>5647</v>
      </c>
    </row>
    <row r="127" spans="1:4" x14ac:dyDescent="0.4">
      <c r="A127" s="38" t="s">
        <v>2762</v>
      </c>
      <c r="B127" s="40" t="str">
        <f>IFERROR(INDEX(Mots!$B:$B,MATCH($A127,Mots!$A:$A,0)),"introuvable")</f>
        <v>la salle de bain</v>
      </c>
      <c r="C127" s="38" t="s">
        <v>9796</v>
      </c>
    </row>
    <row r="128" spans="1:4" x14ac:dyDescent="0.4">
      <c r="A128" s="38" t="s">
        <v>3159</v>
      </c>
      <c r="B128" s="40" t="str">
        <f>IFERROR(INDEX(Mots!$B:$B,MATCH($A128,Mots!$A:$A,0)),"introuvable")</f>
        <v>le chiffon</v>
      </c>
      <c r="C128" s="39" t="s">
        <v>9797</v>
      </c>
    </row>
    <row r="129" spans="1:3" x14ac:dyDescent="0.4">
      <c r="A129" s="38" t="s">
        <v>3163</v>
      </c>
      <c r="B129" s="40" t="str">
        <f>IFERROR(INDEX(Mots!$B:$B,MATCH($A129,Mots!$A:$A,0)),"introuvable")</f>
        <v>le matériel pour récurrer</v>
      </c>
      <c r="C129" s="39" t="s">
        <v>9798</v>
      </c>
    </row>
    <row r="130" spans="1:3" x14ac:dyDescent="0.4">
      <c r="A130" s="38" t="s">
        <v>3188</v>
      </c>
      <c r="B130" s="40" t="str">
        <f>IFERROR(INDEX(Mots!$B:$B,MATCH($A130,Mots!$A:$A,0)),"introuvable")</f>
        <v>l'oreiller</v>
      </c>
      <c r="C130" s="39" t="s">
        <v>5702</v>
      </c>
    </row>
    <row r="131" spans="1:3" x14ac:dyDescent="0.4">
      <c r="A131" s="38" t="s">
        <v>3203</v>
      </c>
      <c r="B131" s="40" t="str">
        <f>IFERROR(INDEX(Mots!$B:$B,MATCH($A131,Mots!$A:$A,0)),"introuvable")</f>
        <v>la corbeille à linge</v>
      </c>
      <c r="C131" s="38" t="s">
        <v>9799</v>
      </c>
    </row>
    <row r="132" spans="1:3" x14ac:dyDescent="0.4">
      <c r="A132" s="38" t="s">
        <v>3214</v>
      </c>
      <c r="B132" s="40" t="str">
        <f>IFERROR(INDEX(Mots!$B:$B,MATCH($A132,Mots!$A:$A,0)),"introuvable")</f>
        <v>le linge</v>
      </c>
      <c r="C132" s="38" t="s">
        <v>9800</v>
      </c>
    </row>
    <row r="133" spans="1:3" x14ac:dyDescent="0.4">
      <c r="A133" s="38" t="s">
        <v>3233</v>
      </c>
      <c r="B133" s="40" t="str">
        <f>IFERROR(INDEX(Mots!$B:$B,MATCH($A133,Mots!$A:$A,0)),"introuvable")</f>
        <v>l'essence</v>
      </c>
      <c r="C133" s="38" t="s">
        <v>9758</v>
      </c>
    </row>
    <row r="134" spans="1:3" x14ac:dyDescent="0.4">
      <c r="A134" s="38" t="s">
        <v>3257</v>
      </c>
      <c r="B134" s="40" t="str">
        <f>IFERROR(INDEX(Mots!$B:$B,MATCH($A134,Mots!$A:$A,0)),"introuvable")</f>
        <v>les bas</v>
      </c>
      <c r="C134" s="38" t="s">
        <v>9801</v>
      </c>
    </row>
    <row r="135" spans="1:3" x14ac:dyDescent="0.4">
      <c r="A135" s="38" t="s">
        <v>3270</v>
      </c>
      <c r="B135" s="40" t="str">
        <f>IFERROR(INDEX(Mots!$B:$B,MATCH($A135,Mots!$A:$A,0)),"introuvable")</f>
        <v>les cuissettes</v>
      </c>
      <c r="C135" s="38" t="s">
        <v>9802</v>
      </c>
    </row>
    <row r="136" spans="1:3" x14ac:dyDescent="0.4">
      <c r="A136" s="38" t="s">
        <v>34</v>
      </c>
      <c r="B136" s="40" t="str">
        <f>IFERROR(INDEX(Mots!$B:$B,MATCH($A136,Mots!$A:$A,0)),"introuvable")</f>
        <v>la maison</v>
      </c>
      <c r="C136" s="38" t="s">
        <v>9803</v>
      </c>
    </row>
    <row r="137" spans="1:3" x14ac:dyDescent="0.4">
      <c r="A137" s="38" t="s">
        <v>3381</v>
      </c>
      <c r="B137" s="40" t="str">
        <f>IFERROR(INDEX(Mots!$B:$B,MATCH($A137,Mots!$A:$A,0)),"introuvable")</f>
        <v>la barrière</v>
      </c>
      <c r="C137" s="38" t="s">
        <v>9804</v>
      </c>
    </row>
    <row r="138" spans="1:3" x14ac:dyDescent="0.4">
      <c r="A138" s="38" t="s">
        <v>3405</v>
      </c>
      <c r="B138" s="40" t="str">
        <f>IFERROR(INDEX(Mots!$B:$B,MATCH($A138,Mots!$A:$A,0)),"introuvable")</f>
        <v>accepter</v>
      </c>
      <c r="C138" s="38" t="s">
        <v>8989</v>
      </c>
    </row>
    <row r="139" spans="1:3" x14ac:dyDescent="0.4">
      <c r="A139" s="38" t="s">
        <v>3442</v>
      </c>
      <c r="B139" s="40" t="str">
        <f>IFERROR(INDEX(Mots!$B:$B,MATCH($A139,Mots!$A:$A,0)),"introuvable")</f>
        <v>ailleurs</v>
      </c>
      <c r="C139" s="38" t="s">
        <v>9805</v>
      </c>
    </row>
    <row r="140" spans="1:3" x14ac:dyDescent="0.4">
      <c r="A140" s="38" t="s">
        <v>3450</v>
      </c>
      <c r="B140" s="40" t="str">
        <f>IFERROR(INDEX(Mots!$B:$B,MATCH($A140,Mots!$A:$A,0)),"introuvable")</f>
        <v>aimer</v>
      </c>
      <c r="C140" s="38" t="s">
        <v>9806</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9807</v>
      </c>
    </row>
    <row r="143" spans="1:3" x14ac:dyDescent="0.4">
      <c r="A143" s="38" t="s">
        <v>3528</v>
      </c>
      <c r="B143" s="40" t="str">
        <f>IFERROR(INDEX(Mots!$B:$B,MATCH($A143,Mots!$A:$A,0)),"introuvable")</f>
        <v>avouer</v>
      </c>
      <c r="C143" s="38" t="s">
        <v>9808</v>
      </c>
    </row>
    <row r="144" spans="1:3" x14ac:dyDescent="0.4">
      <c r="A144" s="38" t="s">
        <v>3536</v>
      </c>
      <c r="B144" s="40" t="str">
        <f>IFERROR(INDEX(Mots!$B:$B,MATCH($A144,Mots!$A:$A,0)),"introuvable")</f>
        <v>bien</v>
      </c>
      <c r="C144" s="38" t="s">
        <v>9809</v>
      </c>
    </row>
    <row r="145" spans="1:5" x14ac:dyDescent="0.4">
      <c r="A145" s="38" t="s">
        <v>3561</v>
      </c>
      <c r="B145" s="40" t="str">
        <f>IFERROR(INDEX(Mots!$B:$B,MATCH($A145,Mots!$A:$A,0)),"introuvable")</f>
        <v>cacher</v>
      </c>
      <c r="C145" s="38" t="s">
        <v>9810</v>
      </c>
    </row>
    <row r="146" spans="1:5" x14ac:dyDescent="0.4">
      <c r="A146" s="38" t="s">
        <v>3614</v>
      </c>
      <c r="B146" s="40" t="str">
        <f>IFERROR(INDEX(Mots!$B:$B,MATCH($A146,Mots!$A:$A,0)),"introuvable")</f>
        <v>chuchoter</v>
      </c>
      <c r="C146" s="38" t="s">
        <v>8292</v>
      </c>
    </row>
    <row r="147" spans="1:5" x14ac:dyDescent="0.4">
      <c r="A147" s="38" t="s">
        <v>3648</v>
      </c>
      <c r="B147" s="40" t="str">
        <f>IFERROR(INDEX(Mots!$B:$B,MATCH($A147,Mots!$A:$A,0)),"introuvable")</f>
        <v>complet</v>
      </c>
      <c r="C147" s="38" t="s">
        <v>9748</v>
      </c>
    </row>
    <row r="148" spans="1:5" x14ac:dyDescent="0.4">
      <c r="A148" s="38" t="s">
        <v>3652</v>
      </c>
      <c r="B148" s="40" t="str">
        <f>IFERROR(INDEX(Mots!$B:$B,MATCH($A148,Mots!$A:$A,0)),"introuvable")</f>
        <v>comprendre</v>
      </c>
      <c r="C148" s="38" t="s">
        <v>9811</v>
      </c>
    </row>
    <row r="149" spans="1:5" x14ac:dyDescent="0.4">
      <c r="A149" s="38" t="s">
        <v>3672</v>
      </c>
      <c r="B149" s="40" t="str">
        <f>IFERROR(INDEX(Mots!$B:$B,MATCH($A149,Mots!$A:$A,0)),"introuvable")</f>
        <v>connaître</v>
      </c>
      <c r="C149" s="38" t="s">
        <v>7279</v>
      </c>
    </row>
    <row r="150" spans="1:5" x14ac:dyDescent="0.4">
      <c r="A150" s="38" t="s">
        <v>3687</v>
      </c>
      <c r="B150" s="40" t="str">
        <f>IFERROR(INDEX(Mots!$B:$B,MATCH($A150,Mots!$A:$A,0)),"introuvable")</f>
        <v>correct</v>
      </c>
      <c r="C150" s="38" t="s">
        <v>4075</v>
      </c>
      <c r="D150" s="38" t="s">
        <v>9812</v>
      </c>
    </row>
    <row r="151" spans="1:5" x14ac:dyDescent="0.4">
      <c r="A151" s="38" t="s">
        <v>3692</v>
      </c>
      <c r="B151" s="40" t="str">
        <f>IFERROR(INDEX(Mots!$B:$B,MATCH($A151,Mots!$A:$A,0)),"introuvable")</f>
        <v>coupant</v>
      </c>
      <c r="C151" s="38" t="s">
        <v>9813</v>
      </c>
    </row>
    <row r="152" spans="1:5" x14ac:dyDescent="0.4">
      <c r="A152" s="38" t="s">
        <v>3697</v>
      </c>
      <c r="B152" s="40" t="str">
        <f>IFERROR(INDEX(Mots!$B:$B,MATCH($A152,Mots!$A:$A,0)),"introuvable")</f>
        <v>couper</v>
      </c>
      <c r="C152" s="38" t="s">
        <v>9814</v>
      </c>
    </row>
    <row r="153" spans="1:5" x14ac:dyDescent="0.4">
      <c r="A153" s="38" t="s">
        <v>3713</v>
      </c>
      <c r="B153" s="40" t="str">
        <f>IFERROR(INDEX(Mots!$B:$B,MATCH($A153,Mots!$A:$A,0)),"introuvable")</f>
        <v>creux</v>
      </c>
      <c r="C153" s="38" t="s">
        <v>6511</v>
      </c>
    </row>
    <row r="154" spans="1:5" x14ac:dyDescent="0.4">
      <c r="A154" s="38" t="s">
        <v>3734</v>
      </c>
      <c r="B154" s="40" t="str">
        <f>IFERROR(INDEX(Mots!$B:$B,MATCH($A154,Mots!$A:$A,0)),"introuvable")</f>
        <v>cuire</v>
      </c>
      <c r="C154" s="38" t="s">
        <v>7636</v>
      </c>
    </row>
    <row r="155" spans="1:5" x14ac:dyDescent="0.4">
      <c r="A155" s="38" t="s">
        <v>3818</v>
      </c>
      <c r="B155" s="40" t="str">
        <f>IFERROR(INDEX(Mots!$B:$B,MATCH($A155,Mots!$A:$A,0)),"introuvable")</f>
        <v>disponible</v>
      </c>
      <c r="C155" s="38" t="s">
        <v>9815</v>
      </c>
    </row>
    <row r="156" spans="1:5" x14ac:dyDescent="0.4">
      <c r="A156" s="38" t="s">
        <v>3881</v>
      </c>
      <c r="B156" s="40" t="str">
        <f>IFERROR(INDEX(Mots!$B:$B,MATCH($A156,Mots!$A:$A,0)),"introuvable")</f>
        <v>élevé</v>
      </c>
      <c r="C156" s="38" t="s">
        <v>9816</v>
      </c>
      <c r="D156" s="38" t="s">
        <v>10007</v>
      </c>
      <c r="E156" s="38" t="s">
        <v>10008</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9817</v>
      </c>
    </row>
    <row r="161" spans="1:4" x14ac:dyDescent="0.4">
      <c r="A161" s="38" t="s">
        <v>3946</v>
      </c>
      <c r="B161" s="40" t="str">
        <f>IFERROR(INDEX(Mots!$B:$B,MATCH($A161,Mots!$A:$A,0)),"introuvable")</f>
        <v>fatigué</v>
      </c>
      <c r="C161" s="38" t="s">
        <v>9819</v>
      </c>
      <c r="D161" s="38" t="s">
        <v>9818</v>
      </c>
    </row>
    <row r="162" spans="1:4" x14ac:dyDescent="0.4">
      <c r="A162" s="38" t="s">
        <v>3982</v>
      </c>
      <c r="B162" s="40" t="str">
        <f>IFERROR(INDEX(Mots!$B:$B,MATCH($A162,Mots!$A:$A,0)),"introuvable")</f>
        <v>frapper</v>
      </c>
      <c r="C162" s="38" t="s">
        <v>9820</v>
      </c>
    </row>
    <row r="163" spans="1:4" x14ac:dyDescent="0.4">
      <c r="A163" s="38" t="s">
        <v>9614</v>
      </c>
      <c r="B163" s="40" t="str">
        <f>IFERROR(INDEX(Mots!$B:$B,MATCH($A163,Mots!$A:$A,0)),"introuvable")</f>
        <v>heureux</v>
      </c>
      <c r="C163" s="38" t="s">
        <v>9736</v>
      </c>
    </row>
    <row r="164" spans="1:4" x14ac:dyDescent="0.4">
      <c r="A164" s="38" t="s">
        <v>4039</v>
      </c>
      <c r="B164" s="40" t="str">
        <f>IFERROR(INDEX(Mots!$B:$B,MATCH($A164,Mots!$A:$A,0)),"introuvable")</f>
        <v>imaginer</v>
      </c>
      <c r="C164" s="38" t="s">
        <v>9821</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5275</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4609</v>
      </c>
    </row>
    <row r="169" spans="1:4" x14ac:dyDescent="0.4">
      <c r="A169" s="38" t="s">
        <v>4090</v>
      </c>
      <c r="B169" s="40" t="str">
        <f>IFERROR(INDEX(Mots!$B:$B,MATCH($A169,Mots!$A:$A,0)),"introuvable")</f>
        <v>la balance</v>
      </c>
      <c r="C169" s="38" t="s">
        <v>7803</v>
      </c>
      <c r="D169" s="38" t="s">
        <v>9822</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9823</v>
      </c>
    </row>
    <row r="174" spans="1:4" x14ac:dyDescent="0.4">
      <c r="A174" s="38" t="s">
        <v>89</v>
      </c>
      <c r="B174" s="40" t="str">
        <f>IFERROR(INDEX(Mots!$B:$B,MATCH($A174,Mots!$A:$A,0)),"introuvable")</f>
        <v>la catégorie</v>
      </c>
      <c r="C174" s="38" t="s">
        <v>9824</v>
      </c>
    </row>
    <row r="175" spans="1:4" x14ac:dyDescent="0.4">
      <c r="A175" s="38" t="s">
        <v>415</v>
      </c>
      <c r="B175" s="40" t="str">
        <f>IFERROR(INDEX(Mots!$B:$B,MATCH($A175,Mots!$A:$A,0)),"introuvable")</f>
        <v>la chose</v>
      </c>
      <c r="C175" s="38" t="s">
        <v>6832</v>
      </c>
    </row>
    <row r="176" spans="1:4" x14ac:dyDescent="0.4">
      <c r="A176" s="38" t="s">
        <v>4221</v>
      </c>
      <c r="B176" s="40" t="str">
        <f>IFERROR(INDEX(Mots!$B:$B,MATCH($A176,Mots!$A:$A,0)),"introuvable")</f>
        <v>la circulation</v>
      </c>
      <c r="C176" s="38" t="s">
        <v>9825</v>
      </c>
    </row>
    <row r="177" spans="1:4" x14ac:dyDescent="0.4">
      <c r="A177" s="38" t="s">
        <v>4229</v>
      </c>
      <c r="B177" s="40" t="str">
        <f>IFERROR(INDEX(Mots!$B:$B,MATCH($A177,Mots!$A:$A,0)),"introuvable")</f>
        <v>la clairière</v>
      </c>
      <c r="C177" s="38" t="s">
        <v>4922</v>
      </c>
    </row>
    <row r="178" spans="1:4" x14ac:dyDescent="0.4">
      <c r="A178" s="38" t="s">
        <v>4286</v>
      </c>
      <c r="B178" s="40" t="str">
        <f>IFERROR(INDEX(Mots!$B:$B,MATCH($A178,Mots!$A:$A,0)),"introuvable")</f>
        <v>la consigne</v>
      </c>
      <c r="C178" s="38" t="s">
        <v>9826</v>
      </c>
    </row>
    <row r="179" spans="1:4" x14ac:dyDescent="0.4">
      <c r="A179" s="38" t="s">
        <v>4290</v>
      </c>
      <c r="B179" s="40" t="str">
        <f>IFERROR(INDEX(Mots!$B:$B,MATCH($A179,Mots!$A:$A,0)),"introuvable")</f>
        <v>la construction</v>
      </c>
      <c r="C179" s="38" t="s">
        <v>9827</v>
      </c>
    </row>
    <row r="180" spans="1:4" x14ac:dyDescent="0.4">
      <c r="A180" s="38" t="s">
        <v>4298</v>
      </c>
      <c r="B180" s="40" t="str">
        <f>IFERROR(INDEX(Mots!$B:$B,MATCH($A180,Mots!$A:$A,0)),"introuvable")</f>
        <v>la conversation</v>
      </c>
      <c r="C180" s="38" t="s">
        <v>9828</v>
      </c>
    </row>
    <row r="181" spans="1:4" x14ac:dyDescent="0.4">
      <c r="A181" s="38" t="s">
        <v>4347</v>
      </c>
      <c r="B181" s="40" t="str">
        <f>IFERROR(INDEX(Mots!$B:$B,MATCH($A181,Mots!$A:$A,0)),"introuvable")</f>
        <v>se détendre</v>
      </c>
      <c r="C181" s="38" t="s">
        <v>9829</v>
      </c>
      <c r="D181" s="38" t="s">
        <v>9830</v>
      </c>
    </row>
    <row r="182" spans="1:4" x14ac:dyDescent="0.4">
      <c r="A182" s="38" t="s">
        <v>4450</v>
      </c>
      <c r="B182" s="40" t="str">
        <f>IFERROR(INDEX(Mots!$B:$B,MATCH($A182,Mots!$A:$A,0)),"introuvable")</f>
        <v>la foule</v>
      </c>
      <c r="C182" s="38" t="s">
        <v>5988</v>
      </c>
      <c r="D182" s="38" t="s">
        <v>9831</v>
      </c>
    </row>
    <row r="183" spans="1:4" x14ac:dyDescent="0.4">
      <c r="A183" s="38" t="s">
        <v>4454</v>
      </c>
      <c r="B183" s="40" t="str">
        <f>IFERROR(INDEX(Mots!$B:$B,MATCH($A183,Mots!$A:$A,0)),"introuvable")</f>
        <v>la friandise</v>
      </c>
      <c r="C183" s="38" t="s">
        <v>5438</v>
      </c>
    </row>
    <row r="184" spans="1:4" x14ac:dyDescent="0.4">
      <c r="A184" s="38" t="s">
        <v>4462</v>
      </c>
      <c r="B184" s="40" t="str">
        <f>IFERROR(INDEX(Mots!$B:$B,MATCH($A184,Mots!$A:$A,0)),"introuvable")</f>
        <v>la gaieté</v>
      </c>
      <c r="C184" s="38" t="s">
        <v>1737</v>
      </c>
      <c r="D184" s="38" t="s">
        <v>9832</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6499</v>
      </c>
    </row>
    <row r="187" spans="1:4" x14ac:dyDescent="0.4">
      <c r="A187" s="38" t="s">
        <v>4608</v>
      </c>
      <c r="B187" s="40" t="str">
        <f>IFERROR(INDEX(Mots!$B:$B,MATCH($A187,Mots!$A:$A,0)),"introuvable")</f>
        <v>la lutte</v>
      </c>
      <c r="C187" s="38" t="s">
        <v>4083</v>
      </c>
    </row>
    <row r="188" spans="1:4" x14ac:dyDescent="0.4">
      <c r="A188" s="38" t="s">
        <v>4630</v>
      </c>
      <c r="B188" s="40" t="str">
        <f>IFERROR(INDEX(Mots!$B:$B,MATCH($A188,Mots!$A:$A,0)),"introuvable")</f>
        <v>la manière</v>
      </c>
      <c r="C188" s="38" t="s">
        <v>9833</v>
      </c>
    </row>
    <row r="189" spans="1:4" x14ac:dyDescent="0.4">
      <c r="A189" s="38" t="s">
        <v>4641</v>
      </c>
      <c r="B189" s="40" t="str">
        <f>IFERROR(INDEX(Mots!$B:$B,MATCH($A189,Mots!$A:$A,0)),"introuvable")</f>
        <v>la masse</v>
      </c>
      <c r="C189" s="38" t="s">
        <v>4838</v>
      </c>
    </row>
    <row r="190" spans="1:4" x14ac:dyDescent="0.4">
      <c r="A190" s="38" t="s">
        <v>4697</v>
      </c>
      <c r="B190" s="40" t="str">
        <f>IFERROR(INDEX(Mots!$B:$B,MATCH($A190,Mots!$A:$A,0)),"introuvable")</f>
        <v>la nouvelle</v>
      </c>
      <c r="C190" s="38" t="s">
        <v>6801</v>
      </c>
    </row>
    <row r="191" spans="1:4" x14ac:dyDescent="0.4">
      <c r="A191" s="38" t="s">
        <v>4705</v>
      </c>
      <c r="B191" s="40" t="str">
        <f>IFERROR(INDEX(Mots!$B:$B,MATCH($A191,Mots!$A:$A,0)),"introuvable")</f>
        <v>la nuance</v>
      </c>
      <c r="C191" s="38" t="s">
        <v>9834</v>
      </c>
    </row>
    <row r="192" spans="1:4" x14ac:dyDescent="0.4">
      <c r="A192" s="38" t="s">
        <v>4727</v>
      </c>
      <c r="B192" s="40" t="str">
        <f>IFERROR(INDEX(Mots!$B:$B,MATCH($A192,Mots!$A:$A,0)),"introuvable")</f>
        <v>la paroi</v>
      </c>
      <c r="C192" s="38" t="s">
        <v>3370</v>
      </c>
    </row>
    <row r="193" spans="1:4" x14ac:dyDescent="0.4">
      <c r="A193" s="38" t="s">
        <v>4738</v>
      </c>
      <c r="B193" s="40" t="str">
        <f>IFERROR(INDEX(Mots!$B:$B,MATCH($A193,Mots!$A:$A,0)),"introuvable")</f>
        <v>la partie</v>
      </c>
    </row>
    <row r="194" spans="1:4" x14ac:dyDescent="0.4">
      <c r="A194" s="38" t="s">
        <v>4765</v>
      </c>
      <c r="B194" s="40" t="str">
        <f>IFERROR(INDEX(Mots!$B:$B,MATCH($A194,Mots!$A:$A,0)),"introuvable")</f>
        <v>la pensée</v>
      </c>
      <c r="C194" s="38" t="s">
        <v>6782</v>
      </c>
    </row>
    <row r="195" spans="1:4" x14ac:dyDescent="0.4">
      <c r="A195" s="38" t="s">
        <v>4800</v>
      </c>
      <c r="B195" s="40" t="str">
        <f>IFERROR(INDEX(Mots!$B:$B,MATCH($A195,Mots!$A:$A,0)),"introuvable")</f>
        <v>la pierre</v>
      </c>
      <c r="C195" s="38" t="s">
        <v>9774</v>
      </c>
    </row>
    <row r="196" spans="1:4" x14ac:dyDescent="0.4">
      <c r="A196" s="38" t="s">
        <v>4888</v>
      </c>
      <c r="B196" s="40" t="str">
        <f>IFERROR(INDEX(Mots!$B:$B,MATCH($A196,Mots!$A:$A,0)),"introuvable")</f>
        <v>la possibilité</v>
      </c>
      <c r="C196" s="38" t="s">
        <v>9835</v>
      </c>
    </row>
    <row r="197" spans="1:4" x14ac:dyDescent="0.4">
      <c r="A197" s="38" t="s">
        <v>4913</v>
      </c>
      <c r="B197" s="40" t="str">
        <f>IFERROR(INDEX(Mots!$B:$B,MATCH($A197,Mots!$A:$A,0)),"introuvable")</f>
        <v>la poussière</v>
      </c>
      <c r="C197" s="38" t="s">
        <v>5050</v>
      </c>
    </row>
    <row r="198" spans="1:4" x14ac:dyDescent="0.4">
      <c r="A198" s="38" t="s">
        <v>4921</v>
      </c>
      <c r="B198" s="40" t="str">
        <f>IFERROR(INDEX(Mots!$B:$B,MATCH($A198,Mots!$A:$A,0)),"introuvable")</f>
        <v>la prairie</v>
      </c>
      <c r="C198" s="38" t="s">
        <v>4230</v>
      </c>
      <c r="D198" s="38" t="s">
        <v>9836</v>
      </c>
    </row>
    <row r="199" spans="1:4" x14ac:dyDescent="0.4">
      <c r="A199" s="38" t="s">
        <v>4936</v>
      </c>
      <c r="B199" s="40" t="str">
        <f>IFERROR(INDEX(Mots!$B:$B,MATCH($A199,Mots!$A:$A,0)),"introuvable")</f>
        <v>la promenade</v>
      </c>
      <c r="C199" s="38" t="s">
        <v>9837</v>
      </c>
      <c r="D199" s="38" t="s">
        <v>9838</v>
      </c>
    </row>
    <row r="200" spans="1:4" x14ac:dyDescent="0.4">
      <c r="A200" s="38" t="s">
        <v>4980</v>
      </c>
      <c r="B200" s="40" t="str">
        <f>IFERROR(INDEX(Mots!$B:$B,MATCH($A200,Mots!$A:$A,0)),"introuvable")</f>
        <v>la randonnée</v>
      </c>
      <c r="C200" s="38" t="s">
        <v>9838</v>
      </c>
    </row>
    <row r="201" spans="1:4" x14ac:dyDescent="0.4">
      <c r="A201" s="38" t="s">
        <v>4988</v>
      </c>
      <c r="B201" s="40" t="str">
        <f>IFERROR(INDEX(Mots!$B:$B,MATCH($A201,Mots!$A:$A,0)),"introuvable")</f>
        <v>la rapidité</v>
      </c>
      <c r="C201" s="38" t="s">
        <v>3021</v>
      </c>
    </row>
    <row r="202" spans="1:4" x14ac:dyDescent="0.4">
      <c r="A202" s="38" t="s">
        <v>5000</v>
      </c>
      <c r="B202" s="40" t="str">
        <f>IFERROR(INDEX(Mots!$B:$B,MATCH($A202,Mots!$A:$A,0)),"introuvable")</f>
        <v>la récolte</v>
      </c>
      <c r="C202" s="38" t="s">
        <v>9839</v>
      </c>
    </row>
    <row r="203" spans="1:4" x14ac:dyDescent="0.4">
      <c r="A203" s="38" t="s">
        <v>5008</v>
      </c>
      <c r="B203" s="40" t="str">
        <f>IFERROR(INDEX(Mots!$B:$B,MATCH($A203,Mots!$A:$A,0)),"introuvable")</f>
        <v>la réconciliation</v>
      </c>
      <c r="C203" s="38" t="s">
        <v>9840</v>
      </c>
    </row>
    <row r="204" spans="1:4" x14ac:dyDescent="0.4">
      <c r="A204" s="38" t="s">
        <v>5049</v>
      </c>
      <c r="B204" s="40" t="str">
        <f>IFERROR(INDEX(Mots!$B:$B,MATCH($A204,Mots!$A:$A,0)),"introuvable")</f>
        <v>la saleté</v>
      </c>
      <c r="C204" s="38" t="s">
        <v>4914</v>
      </c>
    </row>
    <row r="205" spans="1:4" x14ac:dyDescent="0.4">
      <c r="A205" s="38" t="s">
        <v>5071</v>
      </c>
      <c r="B205" s="40" t="str">
        <f>IFERROR(INDEX(Mots!$B:$B,MATCH($A205,Mots!$A:$A,0)),"introuvable")</f>
        <v>la serviette</v>
      </c>
      <c r="C205" s="38" t="s">
        <v>3215</v>
      </c>
    </row>
    <row r="206" spans="1:4" x14ac:dyDescent="0.4">
      <c r="A206" s="38" t="s">
        <v>5083</v>
      </c>
      <c r="B206" s="40" t="str">
        <f>IFERROR(INDEX(Mots!$B:$B,MATCH($A206,Mots!$A:$A,0)),"introuvable")</f>
        <v>la société</v>
      </c>
      <c r="C206" s="38" t="s">
        <v>439</v>
      </c>
    </row>
    <row r="207" spans="1:4" x14ac:dyDescent="0.4">
      <c r="A207" s="38" t="s">
        <v>5087</v>
      </c>
      <c r="B207" s="40" t="str">
        <f>IFERROR(INDEX(Mots!$B:$B,MATCH($A207,Mots!$A:$A,0)),"introuvable")</f>
        <v>la somme</v>
      </c>
      <c r="C207" s="38" t="s">
        <v>6488</v>
      </c>
    </row>
    <row r="208" spans="1:4" x14ac:dyDescent="0.4">
      <c r="A208" s="38" t="s">
        <v>5091</v>
      </c>
      <c r="B208" s="40" t="str">
        <f>IFERROR(INDEX(Mots!$B:$B,MATCH($A208,Mots!$A:$A,0)),"introuvable")</f>
        <v>la sorte</v>
      </c>
      <c r="C208" s="38" t="s">
        <v>6544</v>
      </c>
    </row>
    <row r="209" spans="1:4" x14ac:dyDescent="0.4">
      <c r="A209" s="38" t="s">
        <v>5105</v>
      </c>
      <c r="B209" s="40" t="str">
        <f>IFERROR(INDEX(Mots!$B:$B,MATCH($A209,Mots!$A:$A,0)),"introuvable")</f>
        <v>la sucrerie</v>
      </c>
      <c r="C209" s="38" t="s">
        <v>4455</v>
      </c>
    </row>
    <row r="210" spans="1:4" x14ac:dyDescent="0.4">
      <c r="A210" s="38" t="s">
        <v>5116</v>
      </c>
      <c r="B210" s="40" t="str">
        <f>IFERROR(INDEX(Mots!$B:$B,MATCH($A210,Mots!$A:$A,0)),"introuvable")</f>
        <v>la tempête</v>
      </c>
      <c r="C210" s="38" t="s">
        <v>6877</v>
      </c>
    </row>
    <row r="211" spans="1:4" x14ac:dyDescent="0.4">
      <c r="A211" s="38" t="s">
        <v>5147</v>
      </c>
      <c r="B211" s="40" t="str">
        <f>IFERROR(INDEX(Mots!$B:$B,MATCH($A211,Mots!$A:$A,0)),"introuvable")</f>
        <v>la toux</v>
      </c>
      <c r="C211" s="38" t="s">
        <v>9841</v>
      </c>
    </row>
    <row r="212" spans="1:4" x14ac:dyDescent="0.4">
      <c r="A212" s="38" t="s">
        <v>5274</v>
      </c>
      <c r="B212" s="40" t="str">
        <f>IFERROR(INDEX(Mots!$B:$B,MATCH($A212,Mots!$A:$A,0)),"introuvable")</f>
        <v>lancer</v>
      </c>
      <c r="C212" s="38" t="s">
        <v>4060</v>
      </c>
    </row>
    <row r="213" spans="1:4" x14ac:dyDescent="0.4">
      <c r="A213" s="38" t="s">
        <v>5282</v>
      </c>
      <c r="B213" s="40" t="str">
        <f>IFERROR(INDEX(Mots!$B:$B,MATCH($A213,Mots!$A:$A,0)),"introuvable")</f>
        <v>l'anse</v>
      </c>
      <c r="C213" s="38" t="s">
        <v>9842</v>
      </c>
    </row>
    <row r="214" spans="1:4" x14ac:dyDescent="0.4">
      <c r="A214" s="38" t="s">
        <v>5326</v>
      </c>
      <c r="B214" s="40" t="str">
        <f>IFERROR(INDEX(Mots!$B:$B,MATCH($A214,Mots!$A:$A,0)),"introuvable")</f>
        <v>laver</v>
      </c>
      <c r="C214" s="38" t="s">
        <v>6959</v>
      </c>
    </row>
    <row r="215" spans="1:4" x14ac:dyDescent="0.4">
      <c r="A215" s="38" t="s">
        <v>5338</v>
      </c>
      <c r="B215" s="40" t="str">
        <f>IFERROR(INDEX(Mots!$B:$B,MATCH($A215,Mots!$A:$A,0)),"introuvable")</f>
        <v>l'avis</v>
      </c>
      <c r="C215" s="38" t="s">
        <v>6782</v>
      </c>
    </row>
    <row r="216" spans="1:4" x14ac:dyDescent="0.4">
      <c r="A216" s="38" t="s">
        <v>5344</v>
      </c>
      <c r="B216" s="40" t="str">
        <f>IFERROR(INDEX(Mots!$B:$B,MATCH($A216,Mots!$A:$A,0)),"introuvable")</f>
        <v>le bagage</v>
      </c>
      <c r="C216" s="38" t="s">
        <v>5162</v>
      </c>
    </row>
    <row r="217" spans="1:4" x14ac:dyDescent="0.4">
      <c r="A217" s="38" t="s">
        <v>5458</v>
      </c>
      <c r="B217" s="40" t="str">
        <f>IFERROR(INDEX(Mots!$B:$B,MATCH($A217,Mots!$A:$A,0)),"introuvable")</f>
        <v>le bout</v>
      </c>
      <c r="C217" s="38" t="s">
        <v>4421</v>
      </c>
    </row>
    <row r="218" spans="1:4" x14ac:dyDescent="0.4">
      <c r="A218" s="38" t="s">
        <v>5557</v>
      </c>
      <c r="B218" s="40" t="str">
        <f>IFERROR(INDEX(Mots!$B:$B,MATCH($A218,Mots!$A:$A,0)),"introuvable")</f>
        <v>le cas</v>
      </c>
      <c r="C218" s="38" t="s">
        <v>5080</v>
      </c>
    </row>
    <row r="219" spans="1:4" x14ac:dyDescent="0.4">
      <c r="A219" s="38" t="s">
        <v>5562</v>
      </c>
      <c r="B219" s="40" t="str">
        <f>IFERROR(INDEX(Mots!$B:$B,MATCH($A219,Mots!$A:$A,0)),"introuvable")</f>
        <v>le centre</v>
      </c>
      <c r="C219" s="38" t="s">
        <v>5979</v>
      </c>
    </row>
    <row r="220" spans="1:4" x14ac:dyDescent="0.4">
      <c r="A220" s="38" t="s">
        <v>5566</v>
      </c>
      <c r="B220" s="40" t="str">
        <f>IFERROR(INDEX(Mots!$B:$B,MATCH($A220,Mots!$A:$A,0)),"introuvable")</f>
        <v>le chagrin</v>
      </c>
      <c r="C220" s="38" t="s">
        <v>4752</v>
      </c>
    </row>
    <row r="221" spans="1:4" x14ac:dyDescent="0.4">
      <c r="A221" s="38" t="s">
        <v>5591</v>
      </c>
      <c r="B221" s="40" t="str">
        <f>IFERROR(INDEX(Mots!$B:$B,MATCH($A221,Mots!$A:$A,0)),"introuvable")</f>
        <v>le champion</v>
      </c>
      <c r="C221" s="38" t="s">
        <v>9843</v>
      </c>
      <c r="D221" s="38" t="s">
        <v>6553</v>
      </c>
    </row>
    <row r="222" spans="1:4" x14ac:dyDescent="0.4">
      <c r="A222" s="38" t="s">
        <v>5603</v>
      </c>
      <c r="B222" s="40" t="str">
        <f>IFERROR(INDEX(Mots!$B:$B,MATCH($A222,Mots!$A:$A,0)),"introuvable")</f>
        <v>le chemin</v>
      </c>
      <c r="C222" s="38" t="s">
        <v>6344</v>
      </c>
    </row>
    <row r="223" spans="1:4" x14ac:dyDescent="0.4">
      <c r="A223" s="38" t="s">
        <v>5623</v>
      </c>
      <c r="B223" s="40" t="str">
        <f>IFERROR(INDEX(Mots!$B:$B,MATCH($A223,Mots!$A:$A,0)),"introuvable")</f>
        <v>le cintre</v>
      </c>
      <c r="C223" s="38" t="s">
        <v>9844</v>
      </c>
    </row>
    <row r="224" spans="1:4" x14ac:dyDescent="0.4">
      <c r="A224" s="38" t="s">
        <v>5643</v>
      </c>
      <c r="B224" s="40" t="str">
        <f>IFERROR(INDEX(Mots!$B:$B,MATCH($A224,Mots!$A:$A,0)),"introuvable")</f>
        <v>le combat</v>
      </c>
      <c r="C224" s="38" t="s">
        <v>4609</v>
      </c>
      <c r="D224" s="38" t="s">
        <v>4083</v>
      </c>
    </row>
    <row r="225" spans="1:5" x14ac:dyDescent="0.4">
      <c r="A225" s="38" t="s">
        <v>5646</v>
      </c>
      <c r="B225" s="40" t="str">
        <f>IFERROR(INDEX(Mots!$B:$B,MATCH($A225,Mots!$A:$A,0)),"introuvable")</f>
        <v>le commerce</v>
      </c>
      <c r="C225" s="38" t="s">
        <v>2733</v>
      </c>
      <c r="D225" s="38" t="s">
        <v>4162</v>
      </c>
    </row>
    <row r="226" spans="1:5" x14ac:dyDescent="0.4">
      <c r="A226" s="38" t="s">
        <v>5650</v>
      </c>
      <c r="B226" s="40" t="str">
        <f>IFERROR(INDEX(Mots!$B:$B,MATCH($A226,Mots!$A:$A,0)),"introuvable")</f>
        <v>le complice</v>
      </c>
      <c r="C226" s="38" t="s">
        <v>2722</v>
      </c>
      <c r="D226" s="38" t="s">
        <v>5676</v>
      </c>
    </row>
    <row r="227" spans="1:5" x14ac:dyDescent="0.4">
      <c r="A227" s="38" t="s">
        <v>5655</v>
      </c>
      <c r="B227" s="40" t="str">
        <f>IFERROR(INDEX(Mots!$B:$B,MATCH($A227,Mots!$A:$A,0)),"introuvable")</f>
        <v>le comprimé</v>
      </c>
      <c r="C227" s="38" t="s">
        <v>5952</v>
      </c>
    </row>
    <row r="228" spans="1:5" x14ac:dyDescent="0.4">
      <c r="A228" s="38" t="s">
        <v>5675</v>
      </c>
      <c r="B228" s="40" t="str">
        <f>IFERROR(INDEX(Mots!$B:$B,MATCH($A228,Mots!$A:$A,0)),"introuvable")</f>
        <v>le copain</v>
      </c>
      <c r="C228" s="38" t="s">
        <v>2722</v>
      </c>
      <c r="D228" s="38" t="s">
        <v>5651</v>
      </c>
    </row>
    <row r="229" spans="1:5" x14ac:dyDescent="0.4">
      <c r="A229" s="38" t="s">
        <v>5701</v>
      </c>
      <c r="B229" s="40" t="str">
        <f>IFERROR(INDEX(Mots!$B:$B,MATCH($A229,Mots!$A:$A,0)),"introuvable")</f>
        <v>le coussin</v>
      </c>
      <c r="C229" s="38" t="s">
        <v>3189</v>
      </c>
    </row>
    <row r="230" spans="1:5" x14ac:dyDescent="0.4">
      <c r="A230" s="38" t="s">
        <v>5768</v>
      </c>
      <c r="B230" s="40" t="str">
        <f>IFERROR(INDEX(Mots!$B:$B,MATCH($A230,Mots!$A:$A,0)),"introuvable")</f>
        <v>le désir</v>
      </c>
      <c r="C230" s="38" t="s">
        <v>6381</v>
      </c>
    </row>
    <row r="231" spans="1:5" x14ac:dyDescent="0.4">
      <c r="A231" s="38" t="s">
        <v>5795</v>
      </c>
      <c r="B231" s="40" t="str">
        <f>IFERROR(INDEX(Mots!$B:$B,MATCH($A231,Mots!$A:$A,0)),"introuvable")</f>
        <v>le dommage</v>
      </c>
      <c r="C231" s="38" t="s">
        <v>5746</v>
      </c>
    </row>
    <row r="232" spans="1:5" x14ac:dyDescent="0.4">
      <c r="A232" s="38" t="s">
        <v>5855</v>
      </c>
      <c r="B232" s="40" t="str">
        <f>IFERROR(INDEX(Mots!$B:$B,MATCH($A232,Mots!$A:$A,0)),"introuvable")</f>
        <v>le groupe</v>
      </c>
      <c r="C232" s="38" t="s">
        <v>447</v>
      </c>
      <c r="D232" s="38" t="s">
        <v>9742</v>
      </c>
    </row>
    <row r="233" spans="1:5" x14ac:dyDescent="0.4">
      <c r="A233" s="38" t="s">
        <v>5863</v>
      </c>
      <c r="B233" s="40" t="str">
        <f>IFERROR(INDEX(Mots!$B:$B,MATCH($A233,Mots!$A:$A,0)),"introuvable")</f>
        <v>le hobby</v>
      </c>
      <c r="C233" s="38" t="s">
        <v>647</v>
      </c>
    </row>
    <row r="234" spans="1:5" x14ac:dyDescent="0.4">
      <c r="A234" s="38" t="s">
        <v>5902</v>
      </c>
      <c r="B234" s="40" t="str">
        <f>IFERROR(INDEX(Mots!$B:$B,MATCH($A234,Mots!$A:$A,0)),"introuvable")</f>
        <v>le lien</v>
      </c>
      <c r="C234" s="38" t="s">
        <v>9845</v>
      </c>
    </row>
    <row r="235" spans="1:5" x14ac:dyDescent="0.4">
      <c r="A235" s="38" t="s">
        <v>5912</v>
      </c>
      <c r="B235" s="40" t="str">
        <f>IFERROR(INDEX(Mots!$B:$B,MATCH($A235,Mots!$A:$A,0)),"introuvable")</f>
        <v>le livre</v>
      </c>
      <c r="C235" s="38" t="s">
        <v>9846</v>
      </c>
    </row>
    <row r="236" spans="1:5" x14ac:dyDescent="0.4">
      <c r="A236" s="38" t="s">
        <v>5920</v>
      </c>
      <c r="B236" s="40" t="str">
        <f>IFERROR(INDEX(Mots!$B:$B,MATCH($A236,Mots!$A:$A,0)),"introuvable")</f>
        <v>le logement</v>
      </c>
      <c r="C236" s="38" t="s">
        <v>5293</v>
      </c>
      <c r="D236" s="38" t="s">
        <v>3331</v>
      </c>
      <c r="E236" s="38" t="s">
        <v>3340</v>
      </c>
    </row>
    <row r="237" spans="1:5" x14ac:dyDescent="0.4">
      <c r="A237" s="38" t="s">
        <v>5923</v>
      </c>
      <c r="B237" s="40" t="str">
        <f>IFERROR(INDEX(Mots!$B:$B,MATCH($A237,Mots!$A:$A,0)),"introuvable")</f>
        <v>le maître</v>
      </c>
      <c r="C237" s="38" t="s">
        <v>9847</v>
      </c>
      <c r="D237" s="38" t="s">
        <v>2217</v>
      </c>
      <c r="E237" s="38" t="s">
        <v>9848</v>
      </c>
    </row>
    <row r="238" spans="1:5" x14ac:dyDescent="0.4">
      <c r="A238" s="38" t="s">
        <v>5951</v>
      </c>
      <c r="B238" s="40" t="str">
        <f>IFERROR(INDEX(Mots!$B:$B,MATCH($A238,Mots!$A:$A,0)),"introuvable")</f>
        <v>le médicament</v>
      </c>
      <c r="C238" s="38" t="s">
        <v>5656</v>
      </c>
      <c r="D238" s="38" t="s">
        <v>9849</v>
      </c>
    </row>
    <row r="239" spans="1:5" x14ac:dyDescent="0.4">
      <c r="A239" s="38" t="s">
        <v>5983</v>
      </c>
      <c r="B239" s="40" t="str">
        <f>IFERROR(INDEX(Mots!$B:$B,MATCH($A239,Mots!$A:$A,0)),"introuvable")</f>
        <v>le moment</v>
      </c>
      <c r="C239" s="38" t="s">
        <v>6812</v>
      </c>
    </row>
    <row r="240" spans="1:5" x14ac:dyDescent="0.4">
      <c r="A240" s="38" t="s">
        <v>5987</v>
      </c>
      <c r="B240" s="40" t="str">
        <f>IFERROR(INDEX(Mots!$B:$B,MATCH($A240,Mots!$A:$A,0)),"introuvable")</f>
        <v>le monde</v>
      </c>
      <c r="C240" s="38" t="s">
        <v>1649</v>
      </c>
    </row>
    <row r="241" spans="1:4" x14ac:dyDescent="0.4">
      <c r="A241" s="38" t="s">
        <v>5990</v>
      </c>
      <c r="B241" s="40" t="str">
        <f>IFERROR(INDEX(Mots!$B:$B,MATCH($A241,Mots!$A:$A,0)),"introuvable")</f>
        <v>le morceau</v>
      </c>
      <c r="C241" s="38" t="s">
        <v>5459</v>
      </c>
      <c r="D241" s="38" t="s">
        <v>4739</v>
      </c>
    </row>
    <row r="242" spans="1:4" x14ac:dyDescent="0.4">
      <c r="A242" s="38" t="s">
        <v>6016</v>
      </c>
      <c r="B242" s="40" t="str">
        <f>IFERROR(INDEX(Mots!$B:$B,MATCH($A242,Mots!$A:$A,0)),"introuvable")</f>
        <v>le niveau</v>
      </c>
      <c r="C242" s="38" t="s">
        <v>9850</v>
      </c>
    </row>
    <row r="243" spans="1:4" x14ac:dyDescent="0.4">
      <c r="A243" s="38" t="s">
        <v>6156</v>
      </c>
      <c r="B243" s="40" t="str">
        <f>IFERROR(INDEX(Mots!$B:$B,MATCH($A243,Mots!$A:$A,0)),"introuvable")</f>
        <v>le plaisir</v>
      </c>
      <c r="C243" s="38" t="s">
        <v>1737</v>
      </c>
    </row>
    <row r="244" spans="1:4" x14ac:dyDescent="0.4">
      <c r="A244" s="38" t="s">
        <v>6186</v>
      </c>
      <c r="B244" s="40" t="str">
        <f>IFERROR(INDEX(Mots!$B:$B,MATCH($A244,Mots!$A:$A,0)),"introuvable")</f>
        <v>le portefeuille</v>
      </c>
      <c r="C244" s="38" t="s">
        <v>2330</v>
      </c>
    </row>
    <row r="245" spans="1:4" x14ac:dyDescent="0.4">
      <c r="A245" s="38" t="s">
        <v>6210</v>
      </c>
      <c r="B245" s="40" t="str">
        <f>IFERROR(INDEX(Mots!$B:$B,MATCH($A245,Mots!$A:$A,0)),"introuvable")</f>
        <v>le quartier</v>
      </c>
      <c r="C245" s="38" t="s">
        <v>4739</v>
      </c>
    </row>
    <row r="246" spans="1:4" x14ac:dyDescent="0.4">
      <c r="A246" s="38" t="s">
        <v>6222</v>
      </c>
      <c r="B246" s="40" t="str">
        <f>IFERROR(INDEX(Mots!$B:$B,MATCH($A246,Mots!$A:$A,0)),"introuvable")</f>
        <v>le récit</v>
      </c>
      <c r="C246" s="38" t="s">
        <v>6773</v>
      </c>
    </row>
    <row r="247" spans="1:4" x14ac:dyDescent="0.4">
      <c r="A247" s="38" t="s">
        <v>6229</v>
      </c>
      <c r="B247" s="40" t="str">
        <f>IFERROR(INDEX(Mots!$B:$B,MATCH($A247,Mots!$A:$A,0)),"introuvable")</f>
        <v>le reçu</v>
      </c>
      <c r="C247" s="38" t="s">
        <v>9851</v>
      </c>
    </row>
    <row r="248" spans="1:4" x14ac:dyDescent="0.4">
      <c r="A248" s="38" t="s">
        <v>6249</v>
      </c>
      <c r="B248" s="40" t="str">
        <f>IFERROR(INDEX(Mots!$B:$B,MATCH($A248,Mots!$A:$A,0)),"introuvable")</f>
        <v>le remède</v>
      </c>
      <c r="C248" s="38" t="s">
        <v>5952</v>
      </c>
    </row>
    <row r="249" spans="1:4" x14ac:dyDescent="0.4">
      <c r="A249" s="38" t="s">
        <v>6322</v>
      </c>
      <c r="B249" s="40" t="str">
        <f>IFERROR(INDEX(Mots!$B:$B,MATCH($A249,Mots!$A:$A,0)),"introuvable")</f>
        <v>le seau</v>
      </c>
      <c r="C249" s="38" t="s">
        <v>9772</v>
      </c>
    </row>
    <row r="250" spans="1:4" x14ac:dyDescent="0.4">
      <c r="A250" s="38" t="s">
        <v>6343</v>
      </c>
      <c r="B250" s="40" t="str">
        <f>IFERROR(INDEX(Mots!$B:$B,MATCH($A250,Mots!$A:$A,0)),"introuvable")</f>
        <v>le sentier</v>
      </c>
      <c r="C250" s="38" t="s">
        <v>5604</v>
      </c>
    </row>
    <row r="251" spans="1:4" x14ac:dyDescent="0.4">
      <c r="A251" s="38" t="s">
        <v>6356</v>
      </c>
      <c r="B251" s="40" t="str">
        <f>IFERROR(INDEX(Mots!$B:$B,MATCH($A251,Mots!$A:$A,0)),"introuvable")</f>
        <v>le signe</v>
      </c>
      <c r="C251" s="38" t="s">
        <v>5838</v>
      </c>
    </row>
    <row r="252" spans="1:4" x14ac:dyDescent="0.4">
      <c r="A252" s="38" t="s">
        <v>6380</v>
      </c>
      <c r="B252" s="40" t="str">
        <f>IFERROR(INDEX(Mots!$B:$B,MATCH($A252,Mots!$A:$A,0)),"introuvable")</f>
        <v>le souhait</v>
      </c>
      <c r="C252" s="38" t="s">
        <v>5769</v>
      </c>
      <c r="D252" s="38" t="s">
        <v>1774</v>
      </c>
    </row>
    <row r="253" spans="1:4" x14ac:dyDescent="0.4">
      <c r="A253" s="38" t="s">
        <v>6424</v>
      </c>
      <c r="B253" s="40" t="str">
        <f>IFERROR(INDEX(Mots!$B:$B,MATCH($A253,Mots!$A:$A,0)),"introuvable")</f>
        <v>le tas</v>
      </c>
      <c r="C253" s="38" t="s">
        <v>9852</v>
      </c>
    </row>
    <row r="254" spans="1:4" x14ac:dyDescent="0.4">
      <c r="A254" s="38" t="s">
        <v>6498</v>
      </c>
      <c r="B254" s="40" t="str">
        <f>IFERROR(INDEX(Mots!$B:$B,MATCH($A254,Mots!$A:$A,0)),"introuvable")</f>
        <v>le trait</v>
      </c>
      <c r="C254" s="38" t="s">
        <v>4576</v>
      </c>
    </row>
    <row r="255" spans="1:4" x14ac:dyDescent="0.4">
      <c r="A255" s="38" t="s">
        <v>6543</v>
      </c>
      <c r="B255" s="40" t="str">
        <f>IFERROR(INDEX(Mots!$B:$B,MATCH($A255,Mots!$A:$A,0)),"introuvable")</f>
        <v>le type</v>
      </c>
      <c r="C255" s="38" t="s">
        <v>5092</v>
      </c>
    </row>
    <row r="256" spans="1:4" x14ac:dyDescent="0.4">
      <c r="A256" s="38" t="s">
        <v>6552</v>
      </c>
      <c r="B256" s="40" t="str">
        <f>IFERROR(INDEX(Mots!$B:$B,MATCH($A256,Mots!$A:$A,0)),"introuvable")</f>
        <v>le vainqueur</v>
      </c>
      <c r="C256" s="38" t="s">
        <v>9843</v>
      </c>
      <c r="D256" s="38" t="s">
        <v>5592</v>
      </c>
    </row>
    <row r="257" spans="1:4" x14ac:dyDescent="0.4">
      <c r="A257" s="38" t="s">
        <v>324</v>
      </c>
      <c r="B257" s="40" t="str">
        <f>IFERROR(INDEX(Mots!$B:$B,MATCH($A257,Mots!$A:$A,0)),"introuvable")</f>
        <v>le visage</v>
      </c>
      <c r="C257" s="38" t="s">
        <v>9853</v>
      </c>
    </row>
    <row r="258" spans="1:4" x14ac:dyDescent="0.4">
      <c r="A258" s="38" t="s">
        <v>6630</v>
      </c>
      <c r="B258" s="40" t="str">
        <f>IFERROR(INDEX(Mots!$B:$B,MATCH($A258,Mots!$A:$A,0)),"introuvable")</f>
        <v>l'économie</v>
      </c>
      <c r="C258" s="38" t="s">
        <v>9854</v>
      </c>
    </row>
    <row r="259" spans="1:4" x14ac:dyDescent="0.4">
      <c r="A259" s="38" t="s">
        <v>6664</v>
      </c>
      <c r="B259" s="40" t="str">
        <f>IFERROR(INDEX(Mots!$B:$B,MATCH($A259,Mots!$A:$A,0)),"introuvable")</f>
        <v>l'endroit</v>
      </c>
      <c r="C259" s="38" t="s">
        <v>9855</v>
      </c>
    </row>
    <row r="260" spans="1:4" x14ac:dyDescent="0.4">
      <c r="A260" s="38" t="s">
        <v>6692</v>
      </c>
      <c r="B260" s="40" t="str">
        <f>IFERROR(INDEX(Mots!$B:$B,MATCH($A260,Mots!$A:$A,0)),"introuvable")</f>
        <v>l'envie</v>
      </c>
      <c r="C260" s="38" t="s">
        <v>6381</v>
      </c>
    </row>
    <row r="261" spans="1:4" x14ac:dyDescent="0.4">
      <c r="A261" s="38" t="s">
        <v>6709</v>
      </c>
      <c r="B261" s="40" t="str">
        <f>IFERROR(INDEX(Mots!$B:$B,MATCH($A261,Mots!$A:$A,0)),"introuvable")</f>
        <v>l'erreur</v>
      </c>
      <c r="C261" s="38" t="s">
        <v>4396</v>
      </c>
    </row>
    <row r="262" spans="1:4" x14ac:dyDescent="0.4">
      <c r="A262" s="38" t="s">
        <v>6715</v>
      </c>
      <c r="B262" s="40" t="str">
        <f>IFERROR(INDEX(Mots!$B:$B,MATCH($A262,Mots!$A:$A,0)),"introuvable")</f>
        <v>les gens</v>
      </c>
      <c r="C262" s="38" t="s">
        <v>9856</v>
      </c>
    </row>
    <row r="263" spans="1:4" x14ac:dyDescent="0.4">
      <c r="A263" s="38" t="s">
        <v>6758</v>
      </c>
      <c r="B263" s="40" t="str">
        <f>IFERROR(INDEX(Mots!$B:$B,MATCH($A263,Mots!$A:$A,0)),"introuvable")</f>
        <v>lever</v>
      </c>
      <c r="C263" s="38" t="s">
        <v>9857</v>
      </c>
    </row>
    <row r="264" spans="1:4" x14ac:dyDescent="0.4">
      <c r="A264" s="38" t="s">
        <v>6761</v>
      </c>
      <c r="B264" s="40" t="str">
        <f>IFERROR(INDEX(Mots!$B:$B,MATCH($A264,Mots!$A:$A,0)),"introuvable")</f>
        <v>l'excursion</v>
      </c>
      <c r="C264" s="38" t="s">
        <v>5202</v>
      </c>
    </row>
    <row r="265" spans="1:4" x14ac:dyDescent="0.4">
      <c r="A265" s="38" t="s">
        <v>6772</v>
      </c>
      <c r="B265" s="40" t="str">
        <f>IFERROR(INDEX(Mots!$B:$B,MATCH($A265,Mots!$A:$A,0)),"introuvable")</f>
        <v>l'histoire</v>
      </c>
      <c r="C265" s="38" t="s">
        <v>6223</v>
      </c>
    </row>
    <row r="266" spans="1:4" x14ac:dyDescent="0.4">
      <c r="A266" s="38" t="s">
        <v>6789</v>
      </c>
      <c r="B266" s="40" t="str">
        <f>IFERROR(INDEX(Mots!$B:$B,MATCH($A266,Mots!$A:$A,0)),"introuvable")</f>
        <v>l'image</v>
      </c>
      <c r="C266" s="38" t="s">
        <v>4793</v>
      </c>
    </row>
    <row r="267" spans="1:4" x14ac:dyDescent="0.4">
      <c r="A267" s="38" t="s">
        <v>6792</v>
      </c>
      <c r="B267" s="40" t="str">
        <f>IFERROR(INDEX(Mots!$B:$B,MATCH($A267,Mots!$A:$A,0)),"introuvable")</f>
        <v>l'immeuble</v>
      </c>
      <c r="C267" s="38" t="s">
        <v>5389</v>
      </c>
    </row>
    <row r="268" spans="1:4" x14ac:dyDescent="0.4">
      <c r="A268" s="38" t="s">
        <v>6800</v>
      </c>
      <c r="B268" s="40" t="str">
        <f>IFERROR(INDEX(Mots!$B:$B,MATCH($A268,Mots!$A:$A,0)),"introuvable")</f>
        <v>l'information</v>
      </c>
      <c r="C268" s="38" t="s">
        <v>4698</v>
      </c>
      <c r="D268" s="38" t="s">
        <v>4287</v>
      </c>
    </row>
    <row r="269" spans="1:4" x14ac:dyDescent="0.4">
      <c r="A269" s="38" t="s">
        <v>6811</v>
      </c>
      <c r="B269" s="40" t="str">
        <f>IFERROR(INDEX(Mots!$B:$B,MATCH($A269,Mots!$A:$A,0)),"introuvable")</f>
        <v>l'instant</v>
      </c>
      <c r="C269" s="38" t="s">
        <v>5984</v>
      </c>
    </row>
    <row r="270" spans="1:4" x14ac:dyDescent="0.4">
      <c r="A270" s="38" t="s">
        <v>6831</v>
      </c>
      <c r="B270" s="40" t="str">
        <f>IFERROR(INDEX(Mots!$B:$B,MATCH($A270,Mots!$A:$A,0)),"introuvable")</f>
        <v>l'objet</v>
      </c>
      <c r="C270" s="38" t="s">
        <v>4216</v>
      </c>
      <c r="D270" s="38" t="s">
        <v>9858</v>
      </c>
    </row>
    <row r="271" spans="1:4" x14ac:dyDescent="0.4">
      <c r="A271" s="38" t="s">
        <v>6846</v>
      </c>
      <c r="B271" s="40" t="str">
        <f>IFERROR(INDEX(Mots!$B:$B,MATCH($A271,Mots!$A:$A,0)),"introuvable")</f>
        <v>l'oeuvre</v>
      </c>
      <c r="C271" s="38" t="s">
        <v>9859</v>
      </c>
    </row>
    <row r="272" spans="1:4" x14ac:dyDescent="0.4">
      <c r="A272" s="38" t="s">
        <v>6876</v>
      </c>
      <c r="B272" s="40" t="str">
        <f>IFERROR(INDEX(Mots!$B:$B,MATCH($A272,Mots!$A:$A,0)),"introuvable")</f>
        <v>l'orage</v>
      </c>
      <c r="C272" s="38" t="s">
        <v>5117</v>
      </c>
    </row>
    <row r="273" spans="1:4" x14ac:dyDescent="0.4">
      <c r="A273" s="38" t="s">
        <v>6894</v>
      </c>
      <c r="B273" s="40" t="str">
        <f>IFERROR(INDEX(Mots!$B:$B,MATCH($A273,Mots!$A:$A,0)),"introuvable")</f>
        <v>l'usage</v>
      </c>
      <c r="C273" s="38" t="s">
        <v>9860</v>
      </c>
    </row>
    <row r="274" spans="1:4" x14ac:dyDescent="0.4">
      <c r="A274" s="38" t="s">
        <v>6958</v>
      </c>
      <c r="B274" s="40" t="str">
        <f>IFERROR(INDEX(Mots!$B:$B,MATCH($A274,Mots!$A:$A,0)),"introuvable")</f>
        <v>nettoyer</v>
      </c>
      <c r="C274" s="38" t="s">
        <v>5327</v>
      </c>
    </row>
    <row r="275" spans="1:4" x14ac:dyDescent="0.4">
      <c r="A275" s="38" t="s">
        <v>6966</v>
      </c>
      <c r="B275" s="40" t="str">
        <f>IFERROR(INDEX(Mots!$B:$B,MATCH($A275,Mots!$A:$A,0)),"introuvable")</f>
        <v>nombreux</v>
      </c>
      <c r="C275" s="38" t="s">
        <v>3532</v>
      </c>
    </row>
    <row r="276" spans="1:4" x14ac:dyDescent="0.4">
      <c r="A276" s="38" t="s">
        <v>6977</v>
      </c>
      <c r="B276" s="40" t="str">
        <f>IFERROR(INDEX(Mots!$B:$B,MATCH($A276,Mots!$A:$A,0)),"introuvable")</f>
        <v>ordonner</v>
      </c>
      <c r="C276" s="38" t="s">
        <v>9861</v>
      </c>
    </row>
    <row r="277" spans="1:4" x14ac:dyDescent="0.4">
      <c r="A277" s="38" t="s">
        <v>7003</v>
      </c>
      <c r="B277" s="40" t="str">
        <f>IFERROR(INDEX(Mots!$B:$B,MATCH($A277,Mots!$A:$A,0)),"introuvable")</f>
        <v>partir</v>
      </c>
      <c r="C277" s="38" t="s">
        <v>9862</v>
      </c>
    </row>
    <row r="278" spans="1:4" x14ac:dyDescent="0.4">
      <c r="A278" s="38" t="s">
        <v>7090</v>
      </c>
      <c r="B278" s="40" t="str">
        <f>IFERROR(INDEX(Mots!$B:$B,MATCH($A278,Mots!$A:$A,0)),"introuvable")</f>
        <v>pratique</v>
      </c>
      <c r="C278" s="38" t="s">
        <v>7394</v>
      </c>
    </row>
    <row r="279" spans="1:4" x14ac:dyDescent="0.4">
      <c r="A279" s="38" t="s">
        <v>7123</v>
      </c>
      <c r="B279" s="40" t="str">
        <f>IFERROR(INDEX(Mots!$B:$B,MATCH($A279,Mots!$A:$A,0)),"introuvable")</f>
        <v>prévenir</v>
      </c>
      <c r="C279" s="38" t="s">
        <v>9863</v>
      </c>
      <c r="D279" s="38" t="s">
        <v>9864</v>
      </c>
    </row>
    <row r="280" spans="1:4" x14ac:dyDescent="0.4">
      <c r="A280" s="38" t="s">
        <v>7131</v>
      </c>
      <c r="B280" s="40" t="str">
        <f>IFERROR(INDEX(Mots!$B:$B,MATCH($A280,Mots!$A:$A,0)),"introuvable")</f>
        <v>promettre</v>
      </c>
      <c r="C280" s="38" t="s">
        <v>9865</v>
      </c>
    </row>
    <row r="281" spans="1:4" x14ac:dyDescent="0.4">
      <c r="A281" s="38" t="s">
        <v>7135</v>
      </c>
      <c r="B281" s="40" t="str">
        <f>IFERROR(INDEX(Mots!$B:$B,MATCH($A281,Mots!$A:$A,0)),"introuvable")</f>
        <v>raconter</v>
      </c>
      <c r="C281" s="38" t="s">
        <v>3814</v>
      </c>
    </row>
    <row r="282" spans="1:4" x14ac:dyDescent="0.4">
      <c r="A282" s="38" t="s">
        <v>7160</v>
      </c>
      <c r="B282" s="40" t="str">
        <f>IFERROR(INDEX(Mots!$B:$B,MATCH($A282,Mots!$A:$A,0)),"introuvable")</f>
        <v>réfléchir</v>
      </c>
      <c r="C282" s="38" t="s">
        <v>7027</v>
      </c>
    </row>
    <row r="283" spans="1:4" x14ac:dyDescent="0.4">
      <c r="A283" s="38" t="s">
        <v>7182</v>
      </c>
      <c r="B283" s="40" t="str">
        <f>IFERROR(INDEX(Mots!$B:$B,MATCH($A283,Mots!$A:$A,0)),"introuvable")</f>
        <v>régulier</v>
      </c>
      <c r="C283" s="38" t="s">
        <v>9866</v>
      </c>
    </row>
    <row r="284" spans="1:4" x14ac:dyDescent="0.4">
      <c r="A284" s="38" t="s">
        <v>7185</v>
      </c>
      <c r="B284" s="40" t="str">
        <f>IFERROR(INDEX(Mots!$B:$B,MATCH($A284,Mots!$A:$A,0)),"introuvable")</f>
        <v>remarquer</v>
      </c>
      <c r="C284" s="38" t="s">
        <v>9867</v>
      </c>
    </row>
    <row r="285" spans="1:4" x14ac:dyDescent="0.4">
      <c r="A285" s="38" t="s">
        <v>7218</v>
      </c>
      <c r="B285" s="40" t="str">
        <f>IFERROR(INDEX(Mots!$B:$B,MATCH($A285,Mots!$A:$A,0)),"introuvable")</f>
        <v>résistant</v>
      </c>
      <c r="C285" s="38" t="s">
        <v>9868</v>
      </c>
    </row>
    <row r="286" spans="1:4" x14ac:dyDescent="0.4">
      <c r="A286" s="38" t="s">
        <v>7227</v>
      </c>
      <c r="B286" s="40" t="str">
        <f>IFERROR(INDEX(Mots!$B:$B,MATCH($A286,Mots!$A:$A,0)),"introuvable")</f>
        <v>réussir</v>
      </c>
      <c r="C286" s="38" t="s">
        <v>9869</v>
      </c>
    </row>
    <row r="287" spans="1:4" x14ac:dyDescent="0.4">
      <c r="A287" s="38" t="s">
        <v>7246</v>
      </c>
      <c r="B287" s="40" t="str">
        <f>IFERROR(INDEX(Mots!$B:$B,MATCH($A287,Mots!$A:$A,0)),"introuvable")</f>
        <v>rude</v>
      </c>
      <c r="C287" s="38" t="s">
        <v>9870</v>
      </c>
    </row>
    <row r="288" spans="1:4" x14ac:dyDescent="0.4">
      <c r="A288" s="38" t="s">
        <v>7327</v>
      </c>
      <c r="B288" s="40" t="str">
        <f>IFERROR(INDEX(Mots!$B:$B,MATCH($A288,Mots!$A:$A,0)),"introuvable")</f>
        <v>supplier</v>
      </c>
      <c r="C288" s="38" t="s">
        <v>9871</v>
      </c>
    </row>
    <row r="289" spans="1:5" x14ac:dyDescent="0.4">
      <c r="A289" s="38" t="s">
        <v>7366</v>
      </c>
      <c r="B289" s="40" t="str">
        <f>IFERROR(INDEX(Mots!$B:$B,MATCH($A289,Mots!$A:$A,0)),"introuvable")</f>
        <v>touffu</v>
      </c>
      <c r="C289" s="38" t="s">
        <v>9872</v>
      </c>
    </row>
    <row r="290" spans="1:5" x14ac:dyDescent="0.4">
      <c r="A290" s="38" t="s">
        <v>7374</v>
      </c>
      <c r="B290" s="40" t="str">
        <f>IFERROR(INDEX(Mots!$B:$B,MATCH($A290,Mots!$A:$A,0)),"introuvable")</f>
        <v>travailler</v>
      </c>
      <c r="C290" s="38" t="s">
        <v>9873</v>
      </c>
    </row>
    <row r="291" spans="1:5" x14ac:dyDescent="0.4">
      <c r="A291" s="38" t="s">
        <v>7393</v>
      </c>
      <c r="B291" s="40" t="str">
        <f>IFERROR(INDEX(Mots!$B:$B,MATCH($A291,Mots!$A:$A,0)),"introuvable")</f>
        <v>utile</v>
      </c>
      <c r="C291" s="38" t="s">
        <v>7091</v>
      </c>
    </row>
    <row r="292" spans="1:5" x14ac:dyDescent="0.4">
      <c r="A292" s="38" t="s">
        <v>7396</v>
      </c>
      <c r="B292" s="40" t="str">
        <f>IFERROR(INDEX(Mots!$B:$B,MATCH($A292,Mots!$A:$A,0)),"introuvable")</f>
        <v>velouté</v>
      </c>
      <c r="C292" s="38" t="s">
        <v>2711</v>
      </c>
      <c r="D292" s="38" t="s">
        <v>9874</v>
      </c>
    </row>
    <row r="293" spans="1:5" x14ac:dyDescent="0.4">
      <c r="A293" s="38" t="s">
        <v>7413</v>
      </c>
      <c r="B293" s="40" t="str">
        <f>IFERROR(INDEX(Mots!$B:$B,MATCH($A293,Mots!$A:$A,0)),"introuvable")</f>
        <v>vif - vive</v>
      </c>
      <c r="C293" s="38" t="s">
        <v>9875</v>
      </c>
    </row>
    <row r="294" spans="1:5" x14ac:dyDescent="0.4">
      <c r="A294" s="38" t="s">
        <v>7445</v>
      </c>
      <c r="B294" s="40" t="str">
        <f>IFERROR(INDEX(Mots!$B:$B,MATCH($A294,Mots!$A:$A,0)),"introuvable")</f>
        <v>zéro</v>
      </c>
      <c r="C294" s="38" t="s">
        <v>9876</v>
      </c>
      <c r="D294" s="38" t="s">
        <v>9877</v>
      </c>
    </row>
    <row r="295" spans="1:5" x14ac:dyDescent="0.4">
      <c r="A295" s="38" t="s">
        <v>7501</v>
      </c>
      <c r="B295" s="40" t="str">
        <f>IFERROR(INDEX(Mots!$B:$B,MATCH($A295,Mots!$A:$A,0)),"introuvable")</f>
        <v>récurrer</v>
      </c>
      <c r="C295" s="38" t="s">
        <v>9878</v>
      </c>
    </row>
    <row r="296" spans="1:5" x14ac:dyDescent="0.4">
      <c r="A296" s="38" t="s">
        <v>7564</v>
      </c>
      <c r="B296" s="40" t="str">
        <f>IFERROR(INDEX(Mots!$B:$B,MATCH($A296,Mots!$A:$A,0)),"introuvable")</f>
        <v>quitter</v>
      </c>
      <c r="C296" s="38" t="s">
        <v>7004</v>
      </c>
    </row>
    <row r="297" spans="1:5" x14ac:dyDescent="0.4">
      <c r="A297" s="38" t="s">
        <v>7614</v>
      </c>
      <c r="B297" s="40" t="str">
        <f>IFERROR(INDEX(Mots!$B:$B,MATCH($A297,Mots!$A:$A,0)),"introuvable")</f>
        <v>conduire</v>
      </c>
      <c r="C297" s="38" t="s">
        <v>9879</v>
      </c>
    </row>
    <row r="298" spans="1:5" x14ac:dyDescent="0.4">
      <c r="A298" s="38" t="s">
        <v>7764</v>
      </c>
      <c r="B298" s="40" t="str">
        <f>IFERROR(INDEX(Mots!$B:$B,MATCH($A298,Mots!$A:$A,0)),"introuvable")</f>
        <v>la température</v>
      </c>
      <c r="C298" s="38" t="s">
        <v>4212</v>
      </c>
    </row>
    <row r="299" spans="1:5" x14ac:dyDescent="0.4">
      <c r="A299" s="38" t="s">
        <v>9536</v>
      </c>
      <c r="B299" s="40" t="str">
        <f>IFERROR(INDEX(Mots!$B:$B,MATCH($A299,Mots!$A:$A,0)),"introuvable")</f>
        <v>la sueur</v>
      </c>
      <c r="C299" s="38" t="s">
        <v>9880</v>
      </c>
    </row>
    <row r="300" spans="1:5" x14ac:dyDescent="0.4">
      <c r="A300" s="24" t="s">
        <v>2369</v>
      </c>
      <c r="B300" s="38" t="s">
        <v>10003</v>
      </c>
      <c r="C300" s="38" t="s">
        <v>10004</v>
      </c>
      <c r="D300" s="38" t="s">
        <v>10005</v>
      </c>
      <c r="E300" s="38" t="s">
        <v>7883</v>
      </c>
    </row>
    <row r="301" spans="1:5" x14ac:dyDescent="0.4">
      <c r="A301" s="24" t="s">
        <v>2384</v>
      </c>
      <c r="B301" s="38" t="s">
        <v>7368</v>
      </c>
      <c r="C301" s="38" t="s">
        <v>10006</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7690</v>
      </c>
      <c r="B1" s="41" t="s">
        <v>7691</v>
      </c>
      <c r="C1" s="41" t="s">
        <v>10025</v>
      </c>
      <c r="D1" s="41" t="s">
        <v>7911</v>
      </c>
      <c r="E1" s="41" t="s">
        <v>7912</v>
      </c>
      <c r="F1" s="41" t="s">
        <v>7913</v>
      </c>
      <c r="G1" s="41" t="s">
        <v>7914</v>
      </c>
      <c r="H1" s="41" t="s">
        <v>7915</v>
      </c>
      <c r="I1" s="41" t="s">
        <v>7916</v>
      </c>
      <c r="J1" s="41" t="s">
        <v>7917</v>
      </c>
      <c r="K1" s="41" t="s">
        <v>7918</v>
      </c>
      <c r="L1" s="41" t="s">
        <v>7919</v>
      </c>
    </row>
    <row r="2" spans="1:12" x14ac:dyDescent="0.35">
      <c r="A2" s="23" t="s">
        <v>410</v>
      </c>
      <c r="B2" s="42" t="str">
        <f>IFERROR(INDEX(Mots!$B:$B,MATCH($A2,Mots!$A:$A,0)),"introuvable")</f>
        <v>le sandwich</v>
      </c>
      <c r="C2" s="23" t="s">
        <v>7920</v>
      </c>
    </row>
    <row r="3" spans="1:12" x14ac:dyDescent="0.35">
      <c r="A3" s="23" t="s">
        <v>416</v>
      </c>
      <c r="B3" s="42" t="str">
        <f>IFERROR(INDEX(Mots!$B:$B,MATCH($A3,Mots!$A:$A,0)),"introuvable")</f>
        <v>la lettre</v>
      </c>
      <c r="C3" s="23" t="s">
        <v>9881</v>
      </c>
    </row>
    <row r="4" spans="1:12" x14ac:dyDescent="0.35">
      <c r="A4" s="23" t="s">
        <v>421</v>
      </c>
      <c r="B4" s="42" t="str">
        <f>IFERROR(INDEX(Mots!$B:$B,MATCH($A4,Mots!$A:$A,0)),"introuvable")</f>
        <v>la réunion</v>
      </c>
      <c r="C4" s="23" t="s">
        <v>7921</v>
      </c>
    </row>
    <row r="5" spans="1:12" x14ac:dyDescent="0.35">
      <c r="A5" s="23" t="s">
        <v>426</v>
      </c>
      <c r="B5" s="42" t="str">
        <f>IFERROR(INDEX(Mots!$B:$B,MATCH($A5,Mots!$A:$A,0)),"introuvable")</f>
        <v>le bureau (meuble)</v>
      </c>
      <c r="C5" s="23" t="s">
        <v>7922</v>
      </c>
    </row>
    <row r="6" spans="1:12" x14ac:dyDescent="0.35">
      <c r="A6" s="23" t="s">
        <v>438</v>
      </c>
      <c r="B6" s="42" t="str">
        <f>IFERROR(INDEX(Mots!$B:$B,MATCH($A6,Mots!$A:$A,0)),"introuvable")</f>
        <v>l'entreprise</v>
      </c>
      <c r="C6" s="23" t="s">
        <v>7923</v>
      </c>
    </row>
    <row r="7" spans="1:12" x14ac:dyDescent="0.35">
      <c r="A7" s="23" t="s">
        <v>446</v>
      </c>
      <c r="B7" s="42" t="str">
        <f>IFERROR(INDEX(Mots!$B:$B,MATCH($A7,Mots!$A:$A,0)),"introuvable")</f>
        <v>l'équipe</v>
      </c>
      <c r="C7" s="23" t="s">
        <v>7924</v>
      </c>
    </row>
    <row r="8" spans="1:12" x14ac:dyDescent="0.35">
      <c r="A8" s="23" t="s">
        <v>29</v>
      </c>
      <c r="B8" s="42" t="str">
        <f>IFERROR(INDEX(Mots!$B:$B,MATCH($A8,Mots!$A:$A,0)),"introuvable")</f>
        <v>la famille</v>
      </c>
      <c r="C8" s="23" t="s">
        <v>7925</v>
      </c>
    </row>
    <row r="9" spans="1:12" x14ac:dyDescent="0.35">
      <c r="A9" s="23" t="s">
        <v>459</v>
      </c>
      <c r="B9" s="42" t="str">
        <f>IFERROR(INDEX(Mots!$B:$B,MATCH($A9,Mots!$A:$A,0)),"introuvable")</f>
        <v>le mari et la femme</v>
      </c>
      <c r="C9" s="23" t="s">
        <v>7926</v>
      </c>
    </row>
    <row r="10" spans="1:12" x14ac:dyDescent="0.35">
      <c r="A10" s="23" t="s">
        <v>467</v>
      </c>
      <c r="B10" s="42" t="str">
        <f>IFERROR(INDEX(Mots!$B:$B,MATCH($A10,Mots!$A:$A,0)),"introuvable")</f>
        <v>la mère - la maman</v>
      </c>
      <c r="C10" s="23" t="s">
        <v>7927</v>
      </c>
    </row>
    <row r="11" spans="1:12" x14ac:dyDescent="0.35">
      <c r="A11" s="23" t="s">
        <v>470</v>
      </c>
      <c r="B11" s="42" t="str">
        <f>IFERROR(INDEX(Mots!$B:$B,MATCH($A11,Mots!$A:$A,0)),"introuvable")</f>
        <v>le père - le papa</v>
      </c>
      <c r="C11" s="23" t="s">
        <v>7928</v>
      </c>
    </row>
    <row r="12" spans="1:12" x14ac:dyDescent="0.35">
      <c r="A12" s="23" t="s">
        <v>473</v>
      </c>
      <c r="B12" s="42" t="str">
        <f>IFERROR(INDEX(Mots!$B:$B,MATCH($A12,Mots!$A:$A,0)),"introuvable")</f>
        <v>les enfants</v>
      </c>
      <c r="C12" s="23" t="s">
        <v>7929</v>
      </c>
    </row>
    <row r="13" spans="1:12" x14ac:dyDescent="0.35">
      <c r="A13" s="23" t="s">
        <v>481</v>
      </c>
      <c r="B13" s="42" t="str">
        <f>IFERROR(INDEX(Mots!$B:$B,MATCH($A13,Mots!$A:$A,0)),"introuvable")</f>
        <v>le bébé</v>
      </c>
      <c r="C13" s="23" t="s">
        <v>7930</v>
      </c>
    </row>
    <row r="14" spans="1:12" x14ac:dyDescent="0.35">
      <c r="A14" s="23" t="s">
        <v>490</v>
      </c>
      <c r="B14" s="42" t="str">
        <f>IFERROR(INDEX(Mots!$B:$B,MATCH($A14,Mots!$A:$A,0)),"introuvable")</f>
        <v>la fille</v>
      </c>
      <c r="C14" s="23" t="s">
        <v>7931</v>
      </c>
    </row>
    <row r="15" spans="1:12" x14ac:dyDescent="0.35">
      <c r="A15" s="23" t="s">
        <v>499</v>
      </c>
      <c r="B15" s="42" t="str">
        <f>IFERROR(INDEX(Mots!$B:$B,MATCH($A15,Mots!$A:$A,0)),"introuvable")</f>
        <v>le fils</v>
      </c>
      <c r="C15" s="23" t="s">
        <v>7932</v>
      </c>
    </row>
    <row r="16" spans="1:12" x14ac:dyDescent="0.35">
      <c r="A16" s="23" t="s">
        <v>506</v>
      </c>
      <c r="B16" s="42" t="str">
        <f>IFERROR(INDEX(Mots!$B:$B,MATCH($A16,Mots!$A:$A,0)),"introuvable")</f>
        <v>la grand-mère</v>
      </c>
      <c r="C16" s="23" t="s">
        <v>7933</v>
      </c>
    </row>
    <row r="17" spans="1:4" x14ac:dyDescent="0.35">
      <c r="A17" s="23" t="s">
        <v>510</v>
      </c>
      <c r="B17" s="42" t="str">
        <f>IFERROR(INDEX(Mots!$B:$B,MATCH($A17,Mots!$A:$A,0)),"introuvable")</f>
        <v>le grand-père</v>
      </c>
      <c r="C17" s="23" t="s">
        <v>7934</v>
      </c>
    </row>
    <row r="18" spans="1:4" x14ac:dyDescent="0.35">
      <c r="A18" s="23" t="s">
        <v>514</v>
      </c>
      <c r="B18" s="42" t="str">
        <f>IFERROR(INDEX(Mots!$B:$B,MATCH($A18,Mots!$A:$A,0)),"introuvable")</f>
        <v>la soeur</v>
      </c>
      <c r="C18" s="23" t="s">
        <v>7935</v>
      </c>
    </row>
    <row r="19" spans="1:4" x14ac:dyDescent="0.35">
      <c r="A19" s="23" t="s">
        <v>521</v>
      </c>
      <c r="B19" s="42" t="str">
        <f>IFERROR(INDEX(Mots!$B:$B,MATCH($A19,Mots!$A:$A,0)),"introuvable")</f>
        <v>le frère</v>
      </c>
      <c r="C19" s="23" t="s">
        <v>7936</v>
      </c>
    </row>
    <row r="20" spans="1:4" x14ac:dyDescent="0.35">
      <c r="A20" s="23" t="s">
        <v>526</v>
      </c>
      <c r="B20" s="42" t="str">
        <f>IFERROR(INDEX(Mots!$B:$B,MATCH($A20,Mots!$A:$A,0)),"introuvable")</f>
        <v>la tante</v>
      </c>
      <c r="C20" s="23" t="s">
        <v>7937</v>
      </c>
    </row>
    <row r="21" spans="1:4" x14ac:dyDescent="0.35">
      <c r="A21" s="23" t="s">
        <v>531</v>
      </c>
      <c r="B21" s="42" t="str">
        <f>IFERROR(INDEX(Mots!$B:$B,MATCH($A21,Mots!$A:$A,0)),"introuvable")</f>
        <v>l'oncle</v>
      </c>
      <c r="C21" s="23" t="s">
        <v>7938</v>
      </c>
    </row>
    <row r="22" spans="1:4" x14ac:dyDescent="0.35">
      <c r="A22" s="23" t="s">
        <v>535</v>
      </c>
      <c r="B22" s="42" t="str">
        <f>IFERROR(INDEX(Mots!$B:$B,MATCH($A22,Mots!$A:$A,0)),"introuvable")</f>
        <v>l'homme</v>
      </c>
      <c r="C22" s="23" t="s">
        <v>9882</v>
      </c>
    </row>
    <row r="23" spans="1:4" x14ac:dyDescent="0.35">
      <c r="A23" s="23" t="s">
        <v>544</v>
      </c>
      <c r="B23" s="42" t="str">
        <f>IFERROR(INDEX(Mots!$B:$B,MATCH($A23,Mots!$A:$A,0)),"introuvable")</f>
        <v>la femme</v>
      </c>
      <c r="C23" s="23" t="s">
        <v>7939</v>
      </c>
    </row>
    <row r="24" spans="1:4" x14ac:dyDescent="0.35">
      <c r="A24" s="23" t="s">
        <v>553</v>
      </c>
      <c r="B24" s="42" t="str">
        <f>IFERROR(INDEX(Mots!$B:$B,MATCH($A24,Mots!$A:$A,0)),"introuvable")</f>
        <v>la pelouse</v>
      </c>
      <c r="C24" s="23" t="s">
        <v>9884</v>
      </c>
      <c r="D24" s="23" t="s">
        <v>9883</v>
      </c>
    </row>
    <row r="25" spans="1:4" x14ac:dyDescent="0.35">
      <c r="A25" s="23" t="s">
        <v>557</v>
      </c>
      <c r="B25" s="42" t="str">
        <f>IFERROR(INDEX(Mots!$B:$B,MATCH($A25,Mots!$A:$A,0)),"introuvable")</f>
        <v>la table de jardin</v>
      </c>
      <c r="C25" s="23" t="s">
        <v>7940</v>
      </c>
    </row>
    <row r="26" spans="1:4" x14ac:dyDescent="0.35">
      <c r="A26" s="23" t="s">
        <v>561</v>
      </c>
      <c r="B26" s="42" t="str">
        <f>IFERROR(INDEX(Mots!$B:$B,MATCH($A26,Mots!$A:$A,0)),"introuvable")</f>
        <v>la haie de thujas</v>
      </c>
      <c r="C26" s="23" t="s">
        <v>7941</v>
      </c>
    </row>
    <row r="27" spans="1:4" x14ac:dyDescent="0.35">
      <c r="A27" s="23" t="s">
        <v>565</v>
      </c>
      <c r="B27" s="42" t="str">
        <f>IFERROR(INDEX(Mots!$B:$B,MATCH($A27,Mots!$A:$A,0)),"introuvable")</f>
        <v>l'arrosage automatique</v>
      </c>
      <c r="C27" s="23" t="s">
        <v>7942</v>
      </c>
    </row>
    <row r="28" spans="1:4" x14ac:dyDescent="0.35">
      <c r="A28" s="23" t="s">
        <v>569</v>
      </c>
      <c r="B28" s="42" t="str">
        <f>IFERROR(INDEX(Mots!$B:$B,MATCH($A28,Mots!$A:$A,0)),"introuvable")</f>
        <v>la tondeuse à gazon</v>
      </c>
      <c r="C28" s="23" t="s">
        <v>7943</v>
      </c>
    </row>
    <row r="29" spans="1:4" x14ac:dyDescent="0.35">
      <c r="A29" s="23" t="s">
        <v>573</v>
      </c>
      <c r="B29" s="42" t="str">
        <f>IFERROR(INDEX(Mots!$B:$B,MATCH($A29,Mots!$A:$A,0)),"introuvable")</f>
        <v>l'essence pour tondeuse</v>
      </c>
      <c r="C29" s="23" t="s">
        <v>9885</v>
      </c>
    </row>
    <row r="30" spans="1:4" x14ac:dyDescent="0.35">
      <c r="A30" s="23" t="s">
        <v>615</v>
      </c>
      <c r="B30" s="42" t="str">
        <f>IFERROR(INDEX(Mots!$B:$B,MATCH($A30,Mots!$A:$A,0)),"introuvable")</f>
        <v>la chorale</v>
      </c>
      <c r="C30" s="23" t="s">
        <v>7944</v>
      </c>
      <c r="D30" s="23" t="s">
        <v>7945</v>
      </c>
    </row>
    <row r="31" spans="1:4" x14ac:dyDescent="0.35">
      <c r="A31" s="23" t="s">
        <v>638</v>
      </c>
      <c r="B31" s="42" t="str">
        <f>IFERROR(INDEX(Mots!$B:$B,MATCH($A31,Mots!$A:$A,0)),"introuvable")</f>
        <v>le directeur</v>
      </c>
      <c r="C31" s="23" t="s">
        <v>7946</v>
      </c>
    </row>
    <row r="32" spans="1:4" x14ac:dyDescent="0.35">
      <c r="A32" s="23" t="s">
        <v>702</v>
      </c>
      <c r="B32" s="42" t="str">
        <f>IFERROR(INDEX(Mots!$B:$B,MATCH($A32,Mots!$A:$A,0)),"introuvable")</f>
        <v>la cuisine</v>
      </c>
      <c r="C32" s="23" t="s">
        <v>9886</v>
      </c>
      <c r="D32" s="23" t="s">
        <v>7947</v>
      </c>
    </row>
    <row r="33" spans="1:4" x14ac:dyDescent="0.35">
      <c r="A33" s="23" t="s">
        <v>705</v>
      </c>
      <c r="B33" s="42" t="str">
        <f>IFERROR(INDEX(Mots!$B:$B,MATCH($A33,Mots!$A:$A,0)),"introuvable")</f>
        <v>le frigo</v>
      </c>
      <c r="C33" s="23" t="s">
        <v>9887</v>
      </c>
    </row>
    <row r="34" spans="1:4" x14ac:dyDescent="0.35">
      <c r="A34" s="23" t="s">
        <v>710</v>
      </c>
      <c r="B34" s="42" t="str">
        <f>IFERROR(INDEX(Mots!$B:$B,MATCH($A34,Mots!$A:$A,0)),"introuvable")</f>
        <v>le lave-vaisselle</v>
      </c>
      <c r="C34" s="23" t="s">
        <v>7948</v>
      </c>
      <c r="D34" s="24" t="s">
        <v>9890</v>
      </c>
    </row>
    <row r="35" spans="1:4" x14ac:dyDescent="0.35">
      <c r="A35" s="23" t="s">
        <v>713</v>
      </c>
      <c r="B35" s="42" t="str">
        <f>IFERROR(INDEX(Mots!$B:$B,MATCH($A35,Mots!$A:$A,0)),"introuvable")</f>
        <v>le four</v>
      </c>
      <c r="C35" s="23" t="s">
        <v>7949</v>
      </c>
    </row>
    <row r="36" spans="1:4" x14ac:dyDescent="0.35">
      <c r="A36" s="23" t="s">
        <v>717</v>
      </c>
      <c r="B36" s="42" t="str">
        <f>IFERROR(INDEX(Mots!$B:$B,MATCH($A36,Mots!$A:$A,0)),"introuvable")</f>
        <v>le micro onde</v>
      </c>
      <c r="C36" s="23" t="s">
        <v>7950</v>
      </c>
    </row>
    <row r="37" spans="1:4" x14ac:dyDescent="0.35">
      <c r="A37" s="23" t="s">
        <v>724</v>
      </c>
      <c r="B37" s="42" t="str">
        <f>IFERROR(INDEX(Mots!$B:$B,MATCH($A37,Mots!$A:$A,0)),"introuvable")</f>
        <v>la cuisinière vitroceram</v>
      </c>
      <c r="C37" s="23" t="s">
        <v>9895</v>
      </c>
    </row>
    <row r="38" spans="1:4" x14ac:dyDescent="0.35">
      <c r="A38" s="23" t="s">
        <v>728</v>
      </c>
      <c r="B38" s="42" t="str">
        <f>IFERROR(INDEX(Mots!$B:$B,MATCH($A38,Mots!$A:$A,0)),"introuvable")</f>
        <v>la machine à café</v>
      </c>
      <c r="C38" s="23" t="s">
        <v>9889</v>
      </c>
      <c r="D38" s="24" t="s">
        <v>9888</v>
      </c>
    </row>
    <row r="39" spans="1:4" x14ac:dyDescent="0.35">
      <c r="A39" s="23" t="s">
        <v>733</v>
      </c>
      <c r="B39" s="42" t="str">
        <f>IFERROR(INDEX(Mots!$B:$B,MATCH($A39,Mots!$A:$A,0)),"introuvable")</f>
        <v>le verre</v>
      </c>
      <c r="C39" s="23" t="s">
        <v>7951</v>
      </c>
      <c r="D39" s="24" t="s">
        <v>9891</v>
      </c>
    </row>
    <row r="40" spans="1:4" x14ac:dyDescent="0.35">
      <c r="A40" s="23" t="s">
        <v>737</v>
      </c>
      <c r="B40" s="42" t="str">
        <f>IFERROR(INDEX(Mots!$B:$B,MATCH($A40,Mots!$A:$A,0)),"introuvable")</f>
        <v>la tasse</v>
      </c>
      <c r="C40" s="23" t="s">
        <v>7952</v>
      </c>
    </row>
    <row r="41" spans="1:4" x14ac:dyDescent="0.35">
      <c r="A41" s="23" t="s">
        <v>9472</v>
      </c>
      <c r="B41" s="42" t="str">
        <f>IFERROR(INDEX(Mots!$B:$B,MATCH($A41,Mots!$A:$A,0)),"introuvable")</f>
        <v>le pot ou la mesure</v>
      </c>
      <c r="C41" s="23" t="s">
        <v>7953</v>
      </c>
    </row>
    <row r="42" spans="1:4" x14ac:dyDescent="0.35">
      <c r="A42" s="23" t="s">
        <v>746</v>
      </c>
      <c r="B42" s="42" t="str">
        <f>IFERROR(INDEX(Mots!$B:$B,MATCH($A42,Mots!$A:$A,0)),"introuvable")</f>
        <v>l'assiette</v>
      </c>
      <c r="C42" s="23" t="s">
        <v>7954</v>
      </c>
    </row>
    <row r="43" spans="1:4" x14ac:dyDescent="0.35">
      <c r="A43" s="23" t="s">
        <v>750</v>
      </c>
      <c r="B43" s="42" t="str">
        <f>IFERROR(INDEX(Mots!$B:$B,MATCH($A43,Mots!$A:$A,0)),"introuvable")</f>
        <v>la fourchette</v>
      </c>
      <c r="C43" s="23" t="s">
        <v>7955</v>
      </c>
    </row>
    <row r="44" spans="1:4" x14ac:dyDescent="0.35">
      <c r="A44" s="23" t="s">
        <v>753</v>
      </c>
      <c r="B44" s="42" t="str">
        <f>IFERROR(INDEX(Mots!$B:$B,MATCH($A44,Mots!$A:$A,0)),"introuvable")</f>
        <v>la cuillère</v>
      </c>
      <c r="C44" s="23" t="s">
        <v>7956</v>
      </c>
    </row>
    <row r="45" spans="1:4" x14ac:dyDescent="0.35">
      <c r="A45" s="23" t="s">
        <v>756</v>
      </c>
      <c r="B45" s="42" t="str">
        <f>IFERROR(INDEX(Mots!$B:$B,MATCH($A45,Mots!$A:$A,0)),"introuvable")</f>
        <v>le couteau</v>
      </c>
      <c r="C45" s="23" t="s">
        <v>9892</v>
      </c>
    </row>
    <row r="46" spans="1:4" x14ac:dyDescent="0.35">
      <c r="A46" s="23" t="s">
        <v>760</v>
      </c>
      <c r="B46" s="42" t="str">
        <f>IFERROR(INDEX(Mots!$B:$B,MATCH($A46,Mots!$A:$A,0)),"introuvable")</f>
        <v>la casserole</v>
      </c>
      <c r="C46" s="23" t="s">
        <v>7957</v>
      </c>
    </row>
    <row r="47" spans="1:4" x14ac:dyDescent="0.35">
      <c r="A47" s="23" t="s">
        <v>10035</v>
      </c>
      <c r="B47" s="42" t="str">
        <f>IFERROR(INDEX(Mots!$B:$B,MATCH($A47,Mots!$A:$A,0)),"introuvable")</f>
        <v>la marmite</v>
      </c>
      <c r="C47" s="23" t="s">
        <v>10039</v>
      </c>
    </row>
    <row r="48" spans="1:4" x14ac:dyDescent="0.35">
      <c r="A48" s="23" t="s">
        <v>764</v>
      </c>
      <c r="B48" s="42" t="str">
        <f>IFERROR(INDEX(Mots!$B:$B,MATCH($A48,Mots!$A:$A,0)),"introuvable")</f>
        <v>la poêle</v>
      </c>
      <c r="C48" s="23" t="s">
        <v>9893</v>
      </c>
    </row>
    <row r="49" spans="1:5" x14ac:dyDescent="0.35">
      <c r="A49" s="23" t="s">
        <v>767</v>
      </c>
      <c r="B49" s="42" t="str">
        <f>IFERROR(INDEX(Mots!$B:$B,MATCH($A49,Mots!$A:$A,0)),"introuvable")</f>
        <v>l'évier ou la plonge</v>
      </c>
      <c r="C49" s="23" t="s">
        <v>7958</v>
      </c>
    </row>
    <row r="50" spans="1:5" x14ac:dyDescent="0.35">
      <c r="A50" s="23" t="s">
        <v>779</v>
      </c>
      <c r="B50" s="42" t="str">
        <f>IFERROR(INDEX(Mots!$B:$B,MATCH($A50,Mots!$A:$A,0)),"introuvable")</f>
        <v>le robinet</v>
      </c>
      <c r="C50" s="23" t="s">
        <v>7959</v>
      </c>
      <c r="D50" s="24" t="s">
        <v>9894</v>
      </c>
    </row>
    <row r="51" spans="1:5" x14ac:dyDescent="0.35">
      <c r="A51" s="23" t="s">
        <v>782</v>
      </c>
      <c r="B51" s="42" t="str">
        <f>IFERROR(INDEX(Mots!$B:$B,MATCH($A51,Mots!$A:$A,0)),"introuvable")</f>
        <v>la table</v>
      </c>
      <c r="C51" s="23" t="s">
        <v>7960</v>
      </c>
      <c r="D51" s="24" t="s">
        <v>9896</v>
      </c>
    </row>
    <row r="52" spans="1:5" x14ac:dyDescent="0.35">
      <c r="A52" s="23" t="s">
        <v>786</v>
      </c>
      <c r="B52" s="42" t="str">
        <f>IFERROR(INDEX(Mots!$B:$B,MATCH($A52,Mots!$A:$A,0)),"introuvable")</f>
        <v>la chaise</v>
      </c>
      <c r="C52" s="24" t="s">
        <v>9897</v>
      </c>
    </row>
    <row r="53" spans="1:5" x14ac:dyDescent="0.35">
      <c r="A53" s="23" t="s">
        <v>791</v>
      </c>
      <c r="B53" s="42" t="str">
        <f>IFERROR(INDEX(Mots!$B:$B,MATCH($A53,Mots!$A:$A,0)),"introuvable")</f>
        <v>le buffet</v>
      </c>
      <c r="C53" s="23" t="s">
        <v>7961</v>
      </c>
    </row>
    <row r="54" spans="1:5" x14ac:dyDescent="0.35">
      <c r="A54" s="23" t="s">
        <v>802</v>
      </c>
      <c r="B54" s="42" t="str">
        <f>IFERROR(INDEX(Mots!$B:$B,MATCH($A54,Mots!$A:$A,0)),"introuvable")</f>
        <v>le lave-linge</v>
      </c>
      <c r="C54" s="23" t="s">
        <v>9898</v>
      </c>
      <c r="D54" s="24" t="s">
        <v>9899</v>
      </c>
    </row>
    <row r="55" spans="1:5" x14ac:dyDescent="0.35">
      <c r="A55" s="23" t="s">
        <v>808</v>
      </c>
      <c r="B55" s="42" t="str">
        <f>IFERROR(INDEX(Mots!$B:$B,MATCH($A55,Mots!$A:$A,0)),"introuvable")</f>
        <v>le sèche-linge</v>
      </c>
      <c r="C55" s="23" t="s">
        <v>9900</v>
      </c>
      <c r="D55" s="23" t="s">
        <v>7962</v>
      </c>
    </row>
    <row r="56" spans="1:5" x14ac:dyDescent="0.35">
      <c r="A56" s="23" t="s">
        <v>812</v>
      </c>
      <c r="B56" s="42" t="str">
        <f>IFERROR(INDEX(Mots!$B:$B,MATCH($A56,Mots!$A:$A,0)),"introuvable")</f>
        <v>le fer à repasser</v>
      </c>
      <c r="C56" s="23" t="s">
        <v>7963</v>
      </c>
    </row>
    <row r="57" spans="1:5" x14ac:dyDescent="0.35">
      <c r="A57" s="23" t="s">
        <v>817</v>
      </c>
      <c r="B57" s="42" t="str">
        <f>IFERROR(INDEX(Mots!$B:$B,MATCH($A57,Mots!$A:$A,0)),"introuvable")</f>
        <v>le salon</v>
      </c>
      <c r="C57" s="23" t="s">
        <v>7964</v>
      </c>
    </row>
    <row r="58" spans="1:5" x14ac:dyDescent="0.35">
      <c r="A58" s="23" t="s">
        <v>820</v>
      </c>
      <c r="B58" s="42" t="str">
        <f>IFERROR(INDEX(Mots!$B:$B,MATCH($A58,Mots!$A:$A,0)),"introuvable")</f>
        <v>le canapé</v>
      </c>
      <c r="C58" s="23" t="s">
        <v>9901</v>
      </c>
      <c r="D58" s="24" t="s">
        <v>9902</v>
      </c>
    </row>
    <row r="59" spans="1:5" x14ac:dyDescent="0.35">
      <c r="A59" s="23" t="s">
        <v>823</v>
      </c>
      <c r="B59" s="42" t="str">
        <f>IFERROR(INDEX(Mots!$B:$B,MATCH($A59,Mots!$A:$A,0)),"introuvable")</f>
        <v>le fauteuil</v>
      </c>
      <c r="C59" s="23" t="s">
        <v>7965</v>
      </c>
    </row>
    <row r="60" spans="1:5" x14ac:dyDescent="0.35">
      <c r="A60" s="23" t="s">
        <v>828</v>
      </c>
      <c r="B60" s="42" t="str">
        <f>IFERROR(INDEX(Mots!$B:$B,MATCH($A60,Mots!$A:$A,0)),"introuvable")</f>
        <v>le meuble</v>
      </c>
      <c r="C60" s="23" t="s">
        <v>7966</v>
      </c>
    </row>
    <row r="61" spans="1:5" x14ac:dyDescent="0.35">
      <c r="A61" s="23" t="s">
        <v>832</v>
      </c>
      <c r="B61" s="42" t="str">
        <f>IFERROR(INDEX(Mots!$B:$B,MATCH($A61,Mots!$A:$A,0)),"introuvable")</f>
        <v>la télévision</v>
      </c>
      <c r="C61" s="23" t="s">
        <v>7967</v>
      </c>
    </row>
    <row r="62" spans="1:5" x14ac:dyDescent="0.35">
      <c r="A62" s="23" t="s">
        <v>835</v>
      </c>
      <c r="B62" s="42" t="str">
        <f>IFERROR(INDEX(Mots!$B:$B,MATCH($A62,Mots!$A:$A,0)),"introuvable")</f>
        <v>la lampe</v>
      </c>
      <c r="C62" s="23" t="s">
        <v>9903</v>
      </c>
    </row>
    <row r="63" spans="1:5" x14ac:dyDescent="0.35">
      <c r="A63" s="23" t="s">
        <v>867</v>
      </c>
      <c r="B63" s="42" t="str">
        <f>IFERROR(INDEX(Mots!$B:$B,MATCH($A63,Mots!$A:$A,0)),"introuvable")</f>
        <v>la seconde</v>
      </c>
      <c r="C63" s="23" t="s">
        <v>9905</v>
      </c>
      <c r="D63" s="23" t="s">
        <v>9904</v>
      </c>
      <c r="E63" s="24" t="s">
        <v>9907</v>
      </c>
    </row>
    <row r="64" spans="1:5" x14ac:dyDescent="0.35">
      <c r="A64" s="23" t="s">
        <v>876</v>
      </c>
      <c r="B64" s="42" t="str">
        <f>IFERROR(INDEX(Mots!$B:$B,MATCH($A64,Mots!$A:$A,0)),"introuvable")</f>
        <v>l'heure</v>
      </c>
      <c r="C64" s="23" t="s">
        <v>9906</v>
      </c>
      <c r="D64" s="23" t="s">
        <v>7968</v>
      </c>
      <c r="E64" s="24" t="s">
        <v>9908</v>
      </c>
    </row>
    <row r="65" spans="1:5" x14ac:dyDescent="0.35">
      <c r="A65" s="23" t="s">
        <v>880</v>
      </c>
      <c r="B65" s="42" t="str">
        <f>IFERROR(INDEX(Mots!$B:$B,MATCH($A65,Mots!$A:$A,0)),"introuvable")</f>
        <v>le jour</v>
      </c>
      <c r="C65" s="23" t="s">
        <v>7969</v>
      </c>
      <c r="D65" s="24" t="s">
        <v>9910</v>
      </c>
    </row>
    <row r="66" spans="1:5" x14ac:dyDescent="0.35">
      <c r="A66" s="23" t="s">
        <v>904</v>
      </c>
      <c r="B66" s="42" t="str">
        <f>IFERROR(INDEX(Mots!$B:$B,MATCH($A66,Mots!$A:$A,0)),"introuvable")</f>
        <v>la semaine</v>
      </c>
      <c r="C66" s="23" t="s">
        <v>7969</v>
      </c>
      <c r="D66" s="24" t="s">
        <v>9909</v>
      </c>
    </row>
    <row r="67" spans="1:5" x14ac:dyDescent="0.35">
      <c r="A67" s="23" t="s">
        <v>908</v>
      </c>
      <c r="B67" s="42" t="str">
        <f>IFERROR(INDEX(Mots!$B:$B,MATCH($A67,Mots!$A:$A,0)),"introuvable")</f>
        <v>le mois</v>
      </c>
      <c r="C67" s="23" t="s">
        <v>7970</v>
      </c>
      <c r="D67" s="24" t="s">
        <v>9911</v>
      </c>
      <c r="E67" s="24" t="s">
        <v>9912</v>
      </c>
    </row>
    <row r="68" spans="1:5" x14ac:dyDescent="0.35">
      <c r="A68" s="23" t="s">
        <v>912</v>
      </c>
      <c r="B68" s="42" t="str">
        <f>IFERROR(INDEX(Mots!$B:$B,MATCH($A68,Mots!$A:$A,0)),"introuvable")</f>
        <v>l'année</v>
      </c>
      <c r="C68" s="23" t="s">
        <v>7971</v>
      </c>
      <c r="D68" s="24" t="s">
        <v>9913</v>
      </c>
    </row>
    <row r="69" spans="1:5" x14ac:dyDescent="0.35">
      <c r="A69" s="23" t="s">
        <v>1003</v>
      </c>
      <c r="B69" s="42" t="str">
        <f>IFERROR(INDEX(Mots!$B:$B,MATCH($A69,Mots!$A:$A,0)),"introuvable")</f>
        <v>le ventre</v>
      </c>
      <c r="C69" s="23" t="s">
        <v>7972</v>
      </c>
      <c r="D69" s="24" t="s">
        <v>9914</v>
      </c>
    </row>
    <row r="70" spans="1:5" x14ac:dyDescent="0.35">
      <c r="A70" s="23" t="s">
        <v>1008</v>
      </c>
      <c r="B70" s="42" t="str">
        <f>IFERROR(INDEX(Mots!$B:$B,MATCH($A70,Mots!$A:$A,0)),"introuvable")</f>
        <v>le dos</v>
      </c>
      <c r="C70" s="23" t="s">
        <v>9915</v>
      </c>
      <c r="D70" s="24" t="s">
        <v>9916</v>
      </c>
    </row>
    <row r="71" spans="1:5" x14ac:dyDescent="0.35">
      <c r="A71" s="23" t="s">
        <v>1013</v>
      </c>
      <c r="B71" s="42" t="str">
        <f>IFERROR(INDEX(Mots!$B:$B,MATCH($A71,Mots!$A:$A,0)),"introuvable")</f>
        <v>le coeur</v>
      </c>
      <c r="C71" s="23" t="s">
        <v>7973</v>
      </c>
    </row>
    <row r="72" spans="1:5" x14ac:dyDescent="0.35">
      <c r="A72" s="23" t="s">
        <v>1029</v>
      </c>
      <c r="B72" s="42" t="str">
        <f>IFERROR(INDEX(Mots!$B:$B,MATCH($A72,Mots!$A:$A,0)),"introuvable")</f>
        <v>la tête</v>
      </c>
      <c r="C72" s="23" t="s">
        <v>7974</v>
      </c>
    </row>
    <row r="73" spans="1:5" x14ac:dyDescent="0.35">
      <c r="A73" s="23" t="s">
        <v>1032</v>
      </c>
      <c r="B73" s="42" t="str">
        <f>IFERROR(INDEX(Mots!$B:$B,MATCH($A73,Mots!$A:$A,0)),"introuvable")</f>
        <v>les cheveux</v>
      </c>
      <c r="C73" s="23" t="s">
        <v>7975</v>
      </c>
    </row>
    <row r="74" spans="1:5" x14ac:dyDescent="0.35">
      <c r="A74" s="23" t="s">
        <v>1037</v>
      </c>
      <c r="B74" s="42" t="str">
        <f>IFERROR(INDEX(Mots!$B:$B,MATCH($A74,Mots!$A:$A,0)),"introuvable")</f>
        <v>l'oeil</v>
      </c>
      <c r="C74" s="23" t="s">
        <v>7976</v>
      </c>
      <c r="D74" s="24" t="s">
        <v>9917</v>
      </c>
      <c r="E74" s="24" t="s">
        <v>9919</v>
      </c>
    </row>
    <row r="75" spans="1:5" x14ac:dyDescent="0.35">
      <c r="A75" s="23" t="s">
        <v>1042</v>
      </c>
      <c r="B75" s="42" t="str">
        <f>IFERROR(INDEX(Mots!$B:$B,MATCH($A75,Mots!$A:$A,0)),"introuvable")</f>
        <v>le nez</v>
      </c>
      <c r="C75" s="23" t="s">
        <v>7977</v>
      </c>
      <c r="D75" s="24" t="s">
        <v>9918</v>
      </c>
    </row>
    <row r="76" spans="1:5" x14ac:dyDescent="0.35">
      <c r="A76" s="23" t="s">
        <v>1051</v>
      </c>
      <c r="B76" s="42" t="str">
        <f>IFERROR(INDEX(Mots!$B:$B,MATCH($A76,Mots!$A:$A,0)),"introuvable")</f>
        <v>la bouche</v>
      </c>
      <c r="C76" s="23" t="s">
        <v>7978</v>
      </c>
    </row>
    <row r="77" spans="1:5" x14ac:dyDescent="0.35">
      <c r="A77" s="23" t="s">
        <v>1055</v>
      </c>
      <c r="B77" s="42" t="str">
        <f>IFERROR(INDEX(Mots!$B:$B,MATCH($A77,Mots!$A:$A,0)),"introuvable")</f>
        <v>la dent</v>
      </c>
      <c r="C77" s="23" t="s">
        <v>7979</v>
      </c>
      <c r="D77" s="24" t="s">
        <v>9920</v>
      </c>
    </row>
    <row r="78" spans="1:5" x14ac:dyDescent="0.35">
      <c r="A78" s="23" t="s">
        <v>1060</v>
      </c>
      <c r="B78" s="42" t="str">
        <f>IFERROR(INDEX(Mots!$B:$B,MATCH($A78,Mots!$A:$A,0)),"introuvable")</f>
        <v>l'oreille</v>
      </c>
      <c r="C78" s="23" t="s">
        <v>7980</v>
      </c>
      <c r="D78" s="24" t="s">
        <v>9921</v>
      </c>
    </row>
    <row r="79" spans="1:5" x14ac:dyDescent="0.35">
      <c r="A79" s="23" t="s">
        <v>1085</v>
      </c>
      <c r="B79" s="42" t="str">
        <f>IFERROR(INDEX(Mots!$B:$B,MATCH($A79,Mots!$A:$A,0)),"introuvable")</f>
        <v>la casquette</v>
      </c>
      <c r="C79" s="23" t="s">
        <v>7981</v>
      </c>
    </row>
    <row r="80" spans="1:5" x14ac:dyDescent="0.35">
      <c r="A80" s="23" t="s">
        <v>1090</v>
      </c>
      <c r="B80" s="42" t="str">
        <f>IFERROR(INDEX(Mots!$B:$B,MATCH($A80,Mots!$A:$A,0)),"introuvable")</f>
        <v>la ceinture</v>
      </c>
      <c r="C80" s="23" t="s">
        <v>7982</v>
      </c>
      <c r="D80" s="24" t="s">
        <v>9922</v>
      </c>
    </row>
    <row r="81" spans="1:4" x14ac:dyDescent="0.35">
      <c r="A81" s="23" t="s">
        <v>1114</v>
      </c>
      <c r="B81" s="42" t="str">
        <f>IFERROR(INDEX(Mots!$B:$B,MATCH($A81,Mots!$A:$A,0)),"introuvable")</f>
        <v>la sourdine Cup</v>
      </c>
      <c r="C81" s="23" t="s">
        <v>9923</v>
      </c>
    </row>
    <row r="82" spans="1:4" x14ac:dyDescent="0.35">
      <c r="A82" s="23" t="s">
        <v>1117</v>
      </c>
      <c r="B82" s="42" t="str">
        <f>IFERROR(INDEX(Mots!$B:$B,MATCH($A82,Mots!$A:$A,0)),"introuvable")</f>
        <v>la sourdine straignt ou metal</v>
      </c>
      <c r="C82" s="23" t="s">
        <v>9923</v>
      </c>
    </row>
    <row r="83" spans="1:4" x14ac:dyDescent="0.35">
      <c r="A83" s="23" t="s">
        <v>1120</v>
      </c>
      <c r="B83" s="42" t="str">
        <f>IFERROR(INDEX(Mots!$B:$B,MATCH($A83,Mots!$A:$A,0)),"introuvable")</f>
        <v>l'embouchure</v>
      </c>
      <c r="C83" s="23" t="s">
        <v>9924</v>
      </c>
      <c r="D83" s="24" t="s">
        <v>9925</v>
      </c>
    </row>
    <row r="84" spans="1:4" x14ac:dyDescent="0.35">
      <c r="A84" s="23" t="s">
        <v>1124</v>
      </c>
      <c r="B84" s="42" t="str">
        <f>IFERROR(INDEX(Mots!$B:$B,MATCH($A84,Mots!$A:$A,0)),"introuvable")</f>
        <v>les pistons</v>
      </c>
      <c r="C84" s="23" t="s">
        <v>7983</v>
      </c>
      <c r="D84" s="24" t="s">
        <v>9926</v>
      </c>
    </row>
    <row r="85" spans="1:4" x14ac:dyDescent="0.35">
      <c r="A85" s="23" t="s">
        <v>1127</v>
      </c>
      <c r="B85" s="42" t="str">
        <f>IFERROR(INDEX(Mots!$B:$B,MATCH($A85,Mots!$A:$A,0)),"introuvable")</f>
        <v>la coulisse</v>
      </c>
      <c r="C85" s="23" t="s">
        <v>7984</v>
      </c>
      <c r="D85" s="24" t="s">
        <v>9927</v>
      </c>
    </row>
    <row r="86" spans="1:4" x14ac:dyDescent="0.35">
      <c r="A86" s="23" t="s">
        <v>1131</v>
      </c>
      <c r="B86" s="42" t="str">
        <f>IFERROR(INDEX(Mots!$B:$B,MATCH($A86,Mots!$A:$A,0)),"introuvable")</f>
        <v>le coffre</v>
      </c>
      <c r="C86" s="23" t="s">
        <v>9928</v>
      </c>
      <c r="D86" s="24" t="s">
        <v>9929</v>
      </c>
    </row>
    <row r="87" spans="1:4" x14ac:dyDescent="0.35">
      <c r="A87" s="23" t="s">
        <v>1135</v>
      </c>
      <c r="B87" s="42" t="str">
        <f>IFERROR(INDEX(Mots!$B:$B,MATCH($A87,Mots!$A:$A,0)),"introuvable")</f>
        <v>l'huile</v>
      </c>
      <c r="C87" s="23" t="s">
        <v>7985</v>
      </c>
    </row>
    <row r="88" spans="1:4" x14ac:dyDescent="0.35">
      <c r="A88" s="23" t="s">
        <v>1139</v>
      </c>
      <c r="B88" s="42" t="str">
        <f>IFERROR(INDEX(Mots!$B:$B,MATCH($A88,Mots!$A:$A,0)),"introuvable")</f>
        <v>la graisse</v>
      </c>
      <c r="C88" s="23" t="s">
        <v>9930</v>
      </c>
    </row>
    <row r="89" spans="1:4" x14ac:dyDescent="0.35">
      <c r="A89" s="23" t="s">
        <v>1143</v>
      </c>
      <c r="B89" s="42" t="str">
        <f>IFERROR(INDEX(Mots!$B:$B,MATCH($A89,Mots!$A:$A,0)),"introuvable")</f>
        <v>les brosses</v>
      </c>
      <c r="C89" s="23" t="s">
        <v>9931</v>
      </c>
    </row>
    <row r="90" spans="1:4" x14ac:dyDescent="0.35">
      <c r="A90" s="23" t="s">
        <v>1147</v>
      </c>
      <c r="B90" s="42" t="str">
        <f>IFERROR(INDEX(Mots!$B:$B,MATCH($A90,Mots!$A:$A,0)),"introuvable")</f>
        <v>le pupitre</v>
      </c>
      <c r="C90" s="23" t="s">
        <v>9932</v>
      </c>
    </row>
    <row r="91" spans="1:4" x14ac:dyDescent="0.35">
      <c r="A91" s="23" t="s">
        <v>1152</v>
      </c>
      <c r="B91" s="42" t="str">
        <f>IFERROR(INDEX(Mots!$B:$B,MATCH($A91,Mots!$A:$A,0)),"introuvable")</f>
        <v>l'uniforme</v>
      </c>
      <c r="C91" s="23" t="s">
        <v>7986</v>
      </c>
      <c r="D91" s="23" t="s">
        <v>7987</v>
      </c>
    </row>
    <row r="92" spans="1:4" x14ac:dyDescent="0.35">
      <c r="A92" s="23" t="s">
        <v>1157</v>
      </c>
      <c r="B92" s="42" t="str">
        <f>IFERROR(INDEX(Mots!$B:$B,MATCH($A92,Mots!$A:$A,0)),"introuvable")</f>
        <v>des pâtes</v>
      </c>
      <c r="C92" s="23" t="s">
        <v>9933</v>
      </c>
      <c r="D92" s="24" t="s">
        <v>9936</v>
      </c>
    </row>
    <row r="93" spans="1:4" x14ac:dyDescent="0.35">
      <c r="A93" s="23" t="s">
        <v>1161</v>
      </c>
      <c r="B93" s="42" t="str">
        <f>IFERROR(INDEX(Mots!$B:$B,MATCH($A93,Mots!$A:$A,0)),"introuvable")</f>
        <v>le riz</v>
      </c>
      <c r="C93" s="23" t="s">
        <v>9934</v>
      </c>
      <c r="D93" s="24" t="s">
        <v>9935</v>
      </c>
    </row>
    <row r="94" spans="1:4" x14ac:dyDescent="0.35">
      <c r="A94" s="23" t="s">
        <v>1175</v>
      </c>
      <c r="B94" s="42" t="str">
        <f>IFERROR(INDEX(Mots!$B:$B,MATCH($A94,Mots!$A:$A,0)),"introuvable")</f>
        <v>la vache</v>
      </c>
      <c r="C94" s="23" t="s">
        <v>7988</v>
      </c>
      <c r="D94" s="24" t="s">
        <v>9939</v>
      </c>
    </row>
    <row r="95" spans="1:4" x14ac:dyDescent="0.35">
      <c r="A95" s="23" t="s">
        <v>1180</v>
      </c>
      <c r="B95" s="42" t="str">
        <f>IFERROR(INDEX(Mots!$B:$B,MATCH($A95,Mots!$A:$A,0)),"introuvable")</f>
        <v>le cochon</v>
      </c>
      <c r="C95" s="23" t="s">
        <v>7989</v>
      </c>
      <c r="D95" s="24" t="s">
        <v>9942</v>
      </c>
    </row>
    <row r="96" spans="1:4" x14ac:dyDescent="0.35">
      <c r="A96" s="23" t="s">
        <v>1185</v>
      </c>
      <c r="B96" s="42" t="str">
        <f>IFERROR(INDEX(Mots!$B:$B,MATCH($A96,Mots!$A:$A,0)),"introuvable")</f>
        <v>le mouton</v>
      </c>
      <c r="C96" s="23" t="s">
        <v>9937</v>
      </c>
      <c r="D96" s="24" t="s">
        <v>9941</v>
      </c>
    </row>
    <row r="97" spans="1:4" x14ac:dyDescent="0.35">
      <c r="A97" s="23" t="s">
        <v>1190</v>
      </c>
      <c r="B97" s="42" t="str">
        <f>IFERROR(INDEX(Mots!$B:$B,MATCH($A97,Mots!$A:$A,0)),"introuvable")</f>
        <v>la poule</v>
      </c>
      <c r="C97" s="23" t="s">
        <v>7990</v>
      </c>
      <c r="D97" s="24" t="s">
        <v>9940</v>
      </c>
    </row>
    <row r="98" spans="1:4" x14ac:dyDescent="0.35">
      <c r="A98" s="23" t="s">
        <v>1195</v>
      </c>
      <c r="B98" s="42" t="str">
        <f>IFERROR(INDEX(Mots!$B:$B,MATCH($A98,Mots!$A:$A,0)),"introuvable")</f>
        <v>la chèvre</v>
      </c>
      <c r="C98" s="23" t="s">
        <v>7991</v>
      </c>
      <c r="D98" s="24" t="s">
        <v>9943</v>
      </c>
    </row>
    <row r="99" spans="1:4" x14ac:dyDescent="0.35">
      <c r="A99" s="23" t="s">
        <v>1204</v>
      </c>
      <c r="B99" s="42" t="str">
        <f>IFERROR(INDEX(Mots!$B:$B,MATCH($A99,Mots!$A:$A,0)),"introuvable")</f>
        <v>le cheval</v>
      </c>
      <c r="C99" s="23" t="s">
        <v>7992</v>
      </c>
      <c r="D99" s="24" t="s">
        <v>9944</v>
      </c>
    </row>
    <row r="100" spans="1:4" x14ac:dyDescent="0.35">
      <c r="A100" s="23" t="s">
        <v>1212</v>
      </c>
      <c r="B100" s="42" t="str">
        <f>IFERROR(INDEX(Mots!$B:$B,MATCH($A100,Mots!$A:$A,0)),"introuvable")</f>
        <v>le chat</v>
      </c>
      <c r="C100" s="23" t="s">
        <v>9938</v>
      </c>
      <c r="D100" s="24" t="s">
        <v>9945</v>
      </c>
    </row>
    <row r="101" spans="1:4" x14ac:dyDescent="0.35">
      <c r="A101" s="23" t="s">
        <v>1216</v>
      </c>
      <c r="B101" s="42" t="str">
        <f>IFERROR(INDEX(Mots!$B:$B,MATCH($A101,Mots!$A:$A,0)),"introuvable")</f>
        <v>le chien</v>
      </c>
      <c r="C101" s="23" t="s">
        <v>1172</v>
      </c>
      <c r="D101" s="24" t="s">
        <v>9946</v>
      </c>
    </row>
    <row r="102" spans="1:4" x14ac:dyDescent="0.35">
      <c r="A102" s="23" t="s">
        <v>1220</v>
      </c>
      <c r="B102" s="42" t="str">
        <f>IFERROR(INDEX(Mots!$B:$B,MATCH($A102,Mots!$A:$A,0)),"introuvable")</f>
        <v>le lapin</v>
      </c>
      <c r="C102" s="23" t="s">
        <v>7993</v>
      </c>
      <c r="D102" s="24" t="s">
        <v>9947</v>
      </c>
    </row>
    <row r="103" spans="1:4" x14ac:dyDescent="0.35">
      <c r="A103" s="23" t="s">
        <v>1229</v>
      </c>
      <c r="B103" s="42" t="str">
        <f>IFERROR(INDEX(Mots!$B:$B,MATCH($A103,Mots!$A:$A,0)),"introuvable")</f>
        <v>la souris</v>
      </c>
      <c r="C103" s="23" t="s">
        <v>7994</v>
      </c>
    </row>
    <row r="104" spans="1:4" x14ac:dyDescent="0.35">
      <c r="A104" s="23" t="s">
        <v>1248</v>
      </c>
      <c r="B104" s="42" t="str">
        <f>IFERROR(INDEX(Mots!$B:$B,MATCH($A104,Mots!$A:$A,0)),"introuvable")</f>
        <v>le loup</v>
      </c>
      <c r="C104" s="23" t="s">
        <v>7995</v>
      </c>
      <c r="D104" s="24" t="s">
        <v>9948</v>
      </c>
    </row>
    <row r="105" spans="1:4" x14ac:dyDescent="0.35">
      <c r="A105" s="23" t="s">
        <v>1252</v>
      </c>
      <c r="B105" s="42" t="str">
        <f>IFERROR(INDEX(Mots!$B:$B,MATCH($A105,Mots!$A:$A,0)),"introuvable")</f>
        <v>le chevreuil</v>
      </c>
      <c r="C105" s="23" t="s">
        <v>7996</v>
      </c>
      <c r="D105" s="24" t="s">
        <v>9949</v>
      </c>
    </row>
    <row r="106" spans="1:4" x14ac:dyDescent="0.35">
      <c r="A106" s="23" t="s">
        <v>1261</v>
      </c>
      <c r="B106" s="42" t="str">
        <f>IFERROR(INDEX(Mots!$B:$B,MATCH($A106,Mots!$A:$A,0)),"introuvable")</f>
        <v>la biche</v>
      </c>
      <c r="C106" s="23" t="s">
        <v>7997</v>
      </c>
      <c r="D106" s="24" t="s">
        <v>9950</v>
      </c>
    </row>
    <row r="107" spans="1:4" x14ac:dyDescent="0.35">
      <c r="A107" s="23" t="s">
        <v>1265</v>
      </c>
      <c r="B107" s="42" t="str">
        <f>IFERROR(INDEX(Mots!$B:$B,MATCH($A107,Mots!$A:$A,0)),"introuvable")</f>
        <v>le cerf</v>
      </c>
      <c r="C107" s="23" t="s">
        <v>7998</v>
      </c>
      <c r="D107" s="24" t="s">
        <v>9950</v>
      </c>
    </row>
    <row r="108" spans="1:4" x14ac:dyDescent="0.35">
      <c r="A108" s="23" t="s">
        <v>1269</v>
      </c>
      <c r="B108" s="42" t="str">
        <f>IFERROR(INDEX(Mots!$B:$B,MATCH($A108,Mots!$A:$A,0)),"introuvable")</f>
        <v>le bouquetin</v>
      </c>
      <c r="C108" s="23" t="s">
        <v>7999</v>
      </c>
    </row>
    <row r="109" spans="1:4" x14ac:dyDescent="0.35">
      <c r="A109" s="23" t="s">
        <v>1274</v>
      </c>
      <c r="B109" s="42" t="str">
        <f>IFERROR(INDEX(Mots!$B:$B,MATCH($A109,Mots!$A:$A,0)),"introuvable")</f>
        <v>le poisson</v>
      </c>
      <c r="C109" s="23" t="s">
        <v>8000</v>
      </c>
    </row>
    <row r="110" spans="1:4" x14ac:dyDescent="0.35">
      <c r="A110" s="23" t="s">
        <v>1279</v>
      </c>
      <c r="B110" s="42" t="str">
        <f>IFERROR(INDEX(Mots!$B:$B,MATCH($A110,Mots!$A:$A,0)),"introuvable")</f>
        <v>le serpent</v>
      </c>
      <c r="C110" s="23" t="s">
        <v>8001</v>
      </c>
    </row>
    <row r="111" spans="1:4" x14ac:dyDescent="0.35">
      <c r="A111" s="23" t="s">
        <v>1288</v>
      </c>
      <c r="B111" s="42" t="str">
        <f>IFERROR(INDEX(Mots!$B:$B,MATCH($A111,Mots!$A:$A,0)),"introuvable")</f>
        <v>l'éléphant</v>
      </c>
      <c r="C111" s="23" t="s">
        <v>8002</v>
      </c>
      <c r="D111" s="24" t="s">
        <v>9951</v>
      </c>
    </row>
    <row r="112" spans="1:4" x14ac:dyDescent="0.35">
      <c r="A112" s="23" t="s">
        <v>1293</v>
      </c>
      <c r="B112" s="42" t="str">
        <f>IFERROR(INDEX(Mots!$B:$B,MATCH($A112,Mots!$A:$A,0)),"introuvable")</f>
        <v>le lion</v>
      </c>
      <c r="C112" s="23" t="s">
        <v>9952</v>
      </c>
      <c r="D112" s="23" t="s">
        <v>8003</v>
      </c>
    </row>
    <row r="113" spans="1:4" x14ac:dyDescent="0.35">
      <c r="A113" s="23" t="s">
        <v>1298</v>
      </c>
      <c r="B113" s="42" t="str">
        <f>IFERROR(INDEX(Mots!$B:$B,MATCH($A113,Mots!$A:$A,0)),"introuvable")</f>
        <v>le tigre</v>
      </c>
      <c r="C113" s="23" t="s">
        <v>9953</v>
      </c>
    </row>
    <row r="114" spans="1:4" x14ac:dyDescent="0.35">
      <c r="A114" s="23" t="s">
        <v>1335</v>
      </c>
      <c r="B114" s="42" t="str">
        <f>IFERROR(INDEX(Mots!$B:$B,MATCH($A114,Mots!$A:$A,0)),"introuvable")</f>
        <v>le sucre</v>
      </c>
      <c r="C114" s="23" t="s">
        <v>9954</v>
      </c>
    </row>
    <row r="115" spans="1:4" x14ac:dyDescent="0.35">
      <c r="A115" s="23" t="s">
        <v>1340</v>
      </c>
      <c r="B115" s="42" t="str">
        <f>IFERROR(INDEX(Mots!$B:$B,MATCH($A115,Mots!$A:$A,0)),"introuvable")</f>
        <v>le sel</v>
      </c>
      <c r="C115" s="23" t="s">
        <v>8004</v>
      </c>
    </row>
    <row r="116" spans="1:4" x14ac:dyDescent="0.35">
      <c r="A116" s="23" t="s">
        <v>1345</v>
      </c>
      <c r="B116" s="42" t="str">
        <f>IFERROR(INDEX(Mots!$B:$B,MATCH($A116,Mots!$A:$A,0)),"introuvable")</f>
        <v>le poivre</v>
      </c>
      <c r="C116" s="23" t="s">
        <v>8005</v>
      </c>
    </row>
    <row r="117" spans="1:4" x14ac:dyDescent="0.35">
      <c r="A117" s="23" t="s">
        <v>1350</v>
      </c>
      <c r="B117" s="42" t="str">
        <f>IFERROR(INDEX(Mots!$B:$B,MATCH($A117,Mots!$A:$A,0)),"introuvable")</f>
        <v>l'arôme Maggy</v>
      </c>
      <c r="C117" s="23" t="s">
        <v>8006</v>
      </c>
    </row>
    <row r="118" spans="1:4" x14ac:dyDescent="0.35">
      <c r="A118" s="23" t="s">
        <v>1355</v>
      </c>
      <c r="B118" s="42" t="str">
        <f>IFERROR(INDEX(Mots!$B:$B,MATCH($A118,Mots!$A:$A,0)),"introuvable")</f>
        <v>le curry</v>
      </c>
      <c r="C118" s="23" t="s">
        <v>8007</v>
      </c>
    </row>
    <row r="119" spans="1:4" x14ac:dyDescent="0.35">
      <c r="A119" s="23" t="s">
        <v>9448</v>
      </c>
      <c r="B119" s="42" t="str">
        <f>IFERROR(INDEX(Mots!$B:$B,MATCH($A119,Mots!$A:$A,0)),"introuvable")</f>
        <v>la carte</v>
      </c>
      <c r="C119" s="23" t="s">
        <v>8008</v>
      </c>
      <c r="D119" s="24" t="s">
        <v>9955</v>
      </c>
    </row>
    <row r="120" spans="1:4" x14ac:dyDescent="0.35">
      <c r="A120" s="23" t="s">
        <v>1439</v>
      </c>
      <c r="B120" s="42" t="str">
        <f>IFERROR(INDEX(Mots!$B:$B,MATCH($A120,Mots!$A:$A,0)),"introuvable")</f>
        <v>l'église</v>
      </c>
      <c r="C120" s="23" t="s">
        <v>9956</v>
      </c>
    </row>
    <row r="121" spans="1:4" x14ac:dyDescent="0.35">
      <c r="A121" s="23" t="s">
        <v>1490</v>
      </c>
      <c r="B121" s="42" t="str">
        <f>IFERROR(INDEX(Mots!$B:$B,MATCH($A121,Mots!$A:$A,0)),"introuvable")</f>
        <v>la gare</v>
      </c>
      <c r="C121" s="23" t="s">
        <v>9957</v>
      </c>
    </row>
    <row r="122" spans="1:4" x14ac:dyDescent="0.35">
      <c r="A122" s="23" t="s">
        <v>1499</v>
      </c>
      <c r="B122" s="42" t="str">
        <f>IFERROR(INDEX(Mots!$B:$B,MATCH($A122,Mots!$A:$A,0)),"introuvable")</f>
        <v>l'aéroport</v>
      </c>
      <c r="C122" s="23" t="s">
        <v>8009</v>
      </c>
    </row>
    <row r="123" spans="1:4" x14ac:dyDescent="0.35">
      <c r="A123" s="23" t="s">
        <v>1508</v>
      </c>
      <c r="B123" s="42" t="str">
        <f>IFERROR(INDEX(Mots!$B:$B,MATCH($A123,Mots!$A:$A,0)),"introuvable")</f>
        <v>le musée</v>
      </c>
      <c r="C123" s="23" t="s">
        <v>8010</v>
      </c>
    </row>
    <row r="124" spans="1:4" x14ac:dyDescent="0.35">
      <c r="A124" s="23" t="s">
        <v>1513</v>
      </c>
      <c r="B124" s="42" t="str">
        <f>IFERROR(INDEX(Mots!$B:$B,MATCH($A124,Mots!$A:$A,0)),"introuvable")</f>
        <v>une bière limonade</v>
      </c>
      <c r="C124" s="23" t="s">
        <v>8011</v>
      </c>
    </row>
    <row r="125" spans="1:4" x14ac:dyDescent="0.35">
      <c r="A125" s="23" t="s">
        <v>1517</v>
      </c>
      <c r="B125" s="42" t="str">
        <f>IFERROR(INDEX(Mots!$B:$B,MATCH($A125,Mots!$A:$A,0)),"introuvable")</f>
        <v>un verre de vin rouge</v>
      </c>
      <c r="C125" s="23" t="s">
        <v>8012</v>
      </c>
    </row>
    <row r="126" spans="1:4" x14ac:dyDescent="0.35">
      <c r="A126" s="23" t="s">
        <v>1521</v>
      </c>
      <c r="B126" s="42" t="str">
        <f>IFERROR(INDEX(Mots!$B:$B,MATCH($A126,Mots!$A:$A,0)),"introuvable")</f>
        <v>un verre de vin blanc</v>
      </c>
      <c r="C126" s="23" t="s">
        <v>8013</v>
      </c>
    </row>
    <row r="127" spans="1:4" x14ac:dyDescent="0.35">
      <c r="A127" s="23" t="s">
        <v>1525</v>
      </c>
      <c r="B127" s="42" t="str">
        <f>IFERROR(INDEX(Mots!$B:$B,MATCH($A127,Mots!$A:$A,0)),"introuvable")</f>
        <v>une suze henniez</v>
      </c>
      <c r="C127" s="23" t="s">
        <v>8014</v>
      </c>
    </row>
    <row r="128" spans="1:4" x14ac:dyDescent="0.35">
      <c r="A128" s="23" t="s">
        <v>1533</v>
      </c>
      <c r="B128" s="42" t="str">
        <f>IFERROR(INDEX(Mots!$B:$B,MATCH($A128,Mots!$A:$A,0)),"introuvable")</f>
        <v>une eau minérale</v>
      </c>
      <c r="C128" s="23" t="s">
        <v>8015</v>
      </c>
    </row>
    <row r="129" spans="1:4" x14ac:dyDescent="0.35">
      <c r="A129" s="23" t="s">
        <v>1537</v>
      </c>
      <c r="B129" s="42" t="str">
        <f>IFERROR(INDEX(Mots!$B:$B,MATCH($A129,Mots!$A:$A,0)),"introuvable")</f>
        <v>un henniez cassis</v>
      </c>
      <c r="C129" s="23" t="s">
        <v>8016</v>
      </c>
    </row>
    <row r="130" spans="1:4" x14ac:dyDescent="0.35">
      <c r="A130" s="23" t="s">
        <v>1540</v>
      </c>
      <c r="B130" s="42" t="str">
        <f>IFERROR(INDEX(Mots!$B:$B,MATCH($A130,Mots!$A:$A,0)),"introuvable")</f>
        <v>un Coca Cola</v>
      </c>
      <c r="C130" s="23" t="s">
        <v>9958</v>
      </c>
    </row>
    <row r="131" spans="1:4" x14ac:dyDescent="0.35">
      <c r="A131" s="23" t="s">
        <v>1545</v>
      </c>
      <c r="B131" s="42" t="str">
        <f>IFERROR(INDEX(Mots!$B:$B,MATCH($A131,Mots!$A:$A,0)),"introuvable")</f>
        <v>un grapefruit</v>
      </c>
      <c r="C131" s="23" t="s">
        <v>8017</v>
      </c>
    </row>
    <row r="132" spans="1:4" x14ac:dyDescent="0.35">
      <c r="A132" s="23" t="s">
        <v>1548</v>
      </c>
      <c r="B132" s="42" t="str">
        <f>IFERROR(INDEX(Mots!$B:$B,MATCH($A132,Mots!$A:$A,0)),"introuvable")</f>
        <v>un jus de pomme</v>
      </c>
      <c r="C132" s="23" t="s">
        <v>9959</v>
      </c>
    </row>
    <row r="133" spans="1:4" x14ac:dyDescent="0.35">
      <c r="A133" s="23" t="s">
        <v>1552</v>
      </c>
      <c r="B133" s="42" t="str">
        <f>IFERROR(INDEX(Mots!$B:$B,MATCH($A133,Mots!$A:$A,0)),"introuvable")</f>
        <v>un jus d'orange</v>
      </c>
      <c r="C133" s="23" t="s">
        <v>9960</v>
      </c>
    </row>
    <row r="134" spans="1:4" x14ac:dyDescent="0.35">
      <c r="A134" s="23" t="s">
        <v>1555</v>
      </c>
      <c r="B134" s="42" t="str">
        <f>IFERROR(INDEX(Mots!$B:$B,MATCH($A134,Mots!$A:$A,0)),"introuvable")</f>
        <v>un Sprite</v>
      </c>
      <c r="C134" s="23" t="s">
        <v>9961</v>
      </c>
      <c r="D134" s="24" t="s">
        <v>9962</v>
      </c>
    </row>
    <row r="135" spans="1:4" x14ac:dyDescent="0.35">
      <c r="A135" s="23" t="s">
        <v>1558</v>
      </c>
      <c r="B135" s="42" t="str">
        <f>IFERROR(INDEX(Mots!$B:$B,MATCH($A135,Mots!$A:$A,0)),"introuvable")</f>
        <v>le sirop</v>
      </c>
      <c r="C135" s="23" t="s">
        <v>9963</v>
      </c>
      <c r="D135" s="24" t="s">
        <v>9964</v>
      </c>
    </row>
    <row r="136" spans="1:4" x14ac:dyDescent="0.35">
      <c r="A136" s="23" t="s">
        <v>1563</v>
      </c>
      <c r="B136" s="42" t="str">
        <f>IFERROR(INDEX(Mots!$B:$B,MATCH($A136,Mots!$A:$A,0)),"introuvable")</f>
        <v>les baskets</v>
      </c>
      <c r="C136" s="23" t="s">
        <v>8018</v>
      </c>
    </row>
    <row r="137" spans="1:4" x14ac:dyDescent="0.35">
      <c r="A137" s="23" t="s">
        <v>1568</v>
      </c>
      <c r="B137" s="42" t="str">
        <f>IFERROR(INDEX(Mots!$B:$B,MATCH($A137,Mots!$A:$A,0)),"introuvable")</f>
        <v>les souliers</v>
      </c>
      <c r="C137" s="23" t="s">
        <v>9965</v>
      </c>
    </row>
    <row r="138" spans="1:4" x14ac:dyDescent="0.35">
      <c r="A138" s="23" t="s">
        <v>1576</v>
      </c>
      <c r="B138" s="42" t="str">
        <f>IFERROR(INDEX(Mots!$B:$B,MATCH($A138,Mots!$A:$A,0)),"introuvable")</f>
        <v>les bottillons</v>
      </c>
      <c r="C138" s="23" t="s">
        <v>8019</v>
      </c>
    </row>
    <row r="139" spans="1:4" x14ac:dyDescent="0.35">
      <c r="A139" s="23" t="s">
        <v>1581</v>
      </c>
      <c r="B139" s="42" t="str">
        <f>IFERROR(INDEX(Mots!$B:$B,MATCH($A139,Mots!$A:$A,0)),"introuvable")</f>
        <v>la viande</v>
      </c>
      <c r="C139" s="23" t="s">
        <v>8020</v>
      </c>
    </row>
    <row r="140" spans="1:4" x14ac:dyDescent="0.35">
      <c r="A140" s="23" t="s">
        <v>1585</v>
      </c>
      <c r="B140" s="42" t="str">
        <f>IFERROR(INDEX(Mots!$B:$B,MATCH($A140,Mots!$A:$A,0)),"introuvable")</f>
        <v>le lait</v>
      </c>
      <c r="C140" s="23" t="s">
        <v>9966</v>
      </c>
    </row>
    <row r="141" spans="1:4" x14ac:dyDescent="0.35">
      <c r="A141" s="23" t="s">
        <v>1594</v>
      </c>
      <c r="B141" s="42" t="str">
        <f>IFERROR(INDEX(Mots!$B:$B,MATCH($A141,Mots!$A:$A,0)),"introuvable")</f>
        <v>l'huile</v>
      </c>
      <c r="C141" s="23" t="s">
        <v>9967</v>
      </c>
      <c r="D141" s="24" t="s">
        <v>9968</v>
      </c>
    </row>
    <row r="142" spans="1:4" x14ac:dyDescent="0.35">
      <c r="A142" s="23" t="s">
        <v>1598</v>
      </c>
      <c r="B142" s="42" t="str">
        <f>IFERROR(INDEX(Mots!$B:$B,MATCH($A142,Mots!$A:$A,0)),"introuvable")</f>
        <v>l'oeuf</v>
      </c>
      <c r="C142" s="23" t="s">
        <v>9969</v>
      </c>
    </row>
    <row r="143" spans="1:4" x14ac:dyDescent="0.35">
      <c r="A143" s="23" t="s">
        <v>1603</v>
      </c>
      <c r="B143" s="42" t="str">
        <f>IFERROR(INDEX(Mots!$B:$B,MATCH($A143,Mots!$A:$A,0)),"introuvable")</f>
        <v>le gâteau</v>
      </c>
      <c r="C143" s="23" t="s">
        <v>8021</v>
      </c>
      <c r="D143" s="24" t="s">
        <v>9970</v>
      </c>
    </row>
    <row r="144" spans="1:4" x14ac:dyDescent="0.35">
      <c r="A144" s="23" t="s">
        <v>1608</v>
      </c>
      <c r="B144" s="42" t="str">
        <f>IFERROR(INDEX(Mots!$B:$B,MATCH($A144,Mots!$A:$A,0)),"introuvable")</f>
        <v>la forêt</v>
      </c>
      <c r="C144" s="23" t="s">
        <v>9971</v>
      </c>
      <c r="D144" s="24" t="s">
        <v>9972</v>
      </c>
    </row>
    <row r="145" spans="1:5" x14ac:dyDescent="0.35">
      <c r="A145" s="23" t="s">
        <v>1617</v>
      </c>
      <c r="B145" s="42" t="str">
        <f>IFERROR(INDEX(Mots!$B:$B,MATCH($A145,Mots!$A:$A,0)),"introuvable")</f>
        <v>la mer</v>
      </c>
      <c r="C145" s="23" t="s">
        <v>8022</v>
      </c>
    </row>
    <row r="146" spans="1:5" x14ac:dyDescent="0.35">
      <c r="A146" s="23" t="s">
        <v>1622</v>
      </c>
      <c r="B146" s="42" t="str">
        <f>IFERROR(INDEX(Mots!$B:$B,MATCH($A146,Mots!$A:$A,0)),"introuvable")</f>
        <v>la montagne</v>
      </c>
      <c r="C146" s="23" t="s">
        <v>9973</v>
      </c>
      <c r="D146" s="23" t="s">
        <v>9974</v>
      </c>
      <c r="E146" s="24" t="s">
        <v>9975</v>
      </c>
    </row>
    <row r="147" spans="1:5" x14ac:dyDescent="0.35">
      <c r="A147" s="23" t="s">
        <v>1627</v>
      </c>
      <c r="B147" s="42" t="str">
        <f>IFERROR(INDEX(Mots!$B:$B,MATCH($A147,Mots!$A:$A,0)),"introuvable")</f>
        <v>la rivière</v>
      </c>
      <c r="C147" s="23" t="s">
        <v>8023</v>
      </c>
      <c r="D147" s="24" t="s">
        <v>9976</v>
      </c>
    </row>
    <row r="148" spans="1:5" x14ac:dyDescent="0.35">
      <c r="A148" s="23" t="s">
        <v>1630</v>
      </c>
      <c r="B148" s="42" t="str">
        <f>IFERROR(INDEX(Mots!$B:$B,MATCH($A148,Mots!$A:$A,0)),"introuvable")</f>
        <v>le rocher</v>
      </c>
      <c r="C148" s="23" t="s">
        <v>8024</v>
      </c>
    </row>
    <row r="149" spans="1:5" x14ac:dyDescent="0.35">
      <c r="A149" s="23" t="s">
        <v>1639</v>
      </c>
      <c r="B149" s="42" t="str">
        <f>IFERROR(INDEX(Mots!$B:$B,MATCH($A149,Mots!$A:$A,0)),"introuvable")</f>
        <v>la lune</v>
      </c>
      <c r="C149" s="23" t="s">
        <v>9977</v>
      </c>
      <c r="D149" s="24" t="s">
        <v>9978</v>
      </c>
    </row>
    <row r="150" spans="1:5" x14ac:dyDescent="0.35">
      <c r="A150" s="23" t="s">
        <v>1648</v>
      </c>
      <c r="B150" s="42" t="str">
        <f>IFERROR(INDEX(Mots!$B:$B,MATCH($A150,Mots!$A:$A,0)),"introuvable")</f>
        <v>la terre</v>
      </c>
      <c r="C150" s="23" t="s">
        <v>9979</v>
      </c>
    </row>
    <row r="151" spans="1:5" x14ac:dyDescent="0.35">
      <c r="A151" s="23" t="s">
        <v>1661</v>
      </c>
      <c r="B151" s="42" t="str">
        <f>IFERROR(INDEX(Mots!$B:$B,MATCH($A151,Mots!$A:$A,0)),"introuvable")</f>
        <v>le ciel</v>
      </c>
      <c r="C151" s="23" t="s">
        <v>8025</v>
      </c>
    </row>
    <row r="152" spans="1:5" x14ac:dyDescent="0.35">
      <c r="A152" s="23" t="s">
        <v>1665</v>
      </c>
      <c r="B152" s="42" t="str">
        <f>IFERROR(INDEX(Mots!$B:$B,MATCH($A152,Mots!$A:$A,0)),"introuvable")</f>
        <v>le feu</v>
      </c>
      <c r="C152" s="23" t="s">
        <v>8026</v>
      </c>
      <c r="D152" s="24" t="s">
        <v>9980</v>
      </c>
      <c r="E152" s="24" t="s">
        <v>9981</v>
      </c>
    </row>
    <row r="153" spans="1:5" x14ac:dyDescent="0.35">
      <c r="A153" s="23" t="s">
        <v>1669</v>
      </c>
      <c r="B153" s="42" t="str">
        <f>IFERROR(INDEX(Mots!$B:$B,MATCH($A153,Mots!$A:$A,0)),"introuvable")</f>
        <v>le soleil</v>
      </c>
      <c r="C153" s="23" t="s">
        <v>8027</v>
      </c>
      <c r="D153" s="24" t="s">
        <v>9982</v>
      </c>
    </row>
    <row r="154" spans="1:5" x14ac:dyDescent="0.35">
      <c r="A154" s="23" t="s">
        <v>1678</v>
      </c>
      <c r="B154" s="42" t="str">
        <f>IFERROR(INDEX(Mots!$B:$B,MATCH($A154,Mots!$A:$A,0)),"introuvable")</f>
        <v>l'eau</v>
      </c>
      <c r="C154" s="23" t="s">
        <v>8028</v>
      </c>
    </row>
    <row r="155" spans="1:5" x14ac:dyDescent="0.35">
      <c r="A155" s="23" t="s">
        <v>1686</v>
      </c>
      <c r="B155" s="42" t="str">
        <f>IFERROR(INDEX(Mots!$B:$B,MATCH($A155,Mots!$A:$A,0)),"introuvable")</f>
        <v>l'incendie</v>
      </c>
      <c r="C155" s="23" t="s">
        <v>8029</v>
      </c>
      <c r="D155" s="24" t="s">
        <v>9983</v>
      </c>
    </row>
    <row r="156" spans="1:5" x14ac:dyDescent="0.35">
      <c r="A156" s="23" t="s">
        <v>1690</v>
      </c>
      <c r="B156" s="42" t="str">
        <f>IFERROR(INDEX(Mots!$B:$B,MATCH($A156,Mots!$A:$A,0)),"introuvable")</f>
        <v>la colère</v>
      </c>
      <c r="C156" s="23" t="s">
        <v>8030</v>
      </c>
    </row>
    <row r="157" spans="1:5" x14ac:dyDescent="0.35">
      <c r="A157" s="23" t="s">
        <v>1697</v>
      </c>
      <c r="B157" s="42" t="str">
        <f>IFERROR(INDEX(Mots!$B:$B,MATCH($A157,Mots!$A:$A,0)),"introuvable")</f>
        <v>la peur</v>
      </c>
      <c r="C157" s="23" t="s">
        <v>8031</v>
      </c>
    </row>
    <row r="158" spans="1:5" x14ac:dyDescent="0.35">
      <c r="A158" s="23" t="s">
        <v>1703</v>
      </c>
      <c r="B158" s="42" t="str">
        <f>IFERROR(INDEX(Mots!$B:$B,MATCH($A158,Mots!$A:$A,0)),"introuvable")</f>
        <v>la solitude</v>
      </c>
      <c r="C158" s="23" t="s">
        <v>8032</v>
      </c>
    </row>
    <row r="159" spans="1:5" x14ac:dyDescent="0.35">
      <c r="A159" s="23" t="s">
        <v>1711</v>
      </c>
      <c r="B159" s="42" t="str">
        <f>IFERROR(INDEX(Mots!$B:$B,MATCH($A159,Mots!$A:$A,0)),"introuvable")</f>
        <v>la tristesse</v>
      </c>
      <c r="C159" s="23" t="s">
        <v>8033</v>
      </c>
    </row>
    <row r="160" spans="1:5" x14ac:dyDescent="0.35">
      <c r="A160" s="23" t="s">
        <v>1718</v>
      </c>
      <c r="B160" s="42" t="str">
        <f>IFERROR(INDEX(Mots!$B:$B,MATCH($A160,Mots!$A:$A,0)),"introuvable")</f>
        <v>la confiance</v>
      </c>
      <c r="C160" s="23" t="s">
        <v>8034</v>
      </c>
    </row>
    <row r="161" spans="1:4" x14ac:dyDescent="0.35">
      <c r="A161" s="23" t="s">
        <v>1723</v>
      </c>
      <c r="B161" s="42" t="str">
        <f>IFERROR(INDEX(Mots!$B:$B,MATCH($A161,Mots!$A:$A,0)),"introuvable")</f>
        <v>la fierté</v>
      </c>
      <c r="C161" s="23" t="s">
        <v>8035</v>
      </c>
    </row>
    <row r="162" spans="1:4" x14ac:dyDescent="0.35">
      <c r="A162" s="23" t="s">
        <v>1729</v>
      </c>
      <c r="B162" s="42" t="str">
        <f>IFERROR(INDEX(Mots!$B:$B,MATCH($A162,Mots!$A:$A,0)),"introuvable")</f>
        <v>la gratitude</v>
      </c>
      <c r="C162" s="23" t="s">
        <v>8036</v>
      </c>
    </row>
    <row r="163" spans="1:4" x14ac:dyDescent="0.35">
      <c r="A163" s="23" t="s">
        <v>1736</v>
      </c>
      <c r="B163" s="42" t="str">
        <f>IFERROR(INDEX(Mots!$B:$B,MATCH($A163,Mots!$A:$A,0)),"introuvable")</f>
        <v>la joie</v>
      </c>
      <c r="C163" s="23" t="s">
        <v>8037</v>
      </c>
    </row>
    <row r="164" spans="1:4" x14ac:dyDescent="0.35">
      <c r="A164" s="23" t="s">
        <v>1744</v>
      </c>
      <c r="B164" s="42" t="str">
        <f>IFERROR(INDEX(Mots!$B:$B,MATCH($A164,Mots!$A:$A,0)),"introuvable")</f>
        <v>la surprise</v>
      </c>
      <c r="C164" s="23" t="s">
        <v>8038</v>
      </c>
    </row>
    <row r="165" spans="1:4" x14ac:dyDescent="0.35">
      <c r="A165" s="23" t="s">
        <v>1750</v>
      </c>
      <c r="B165" s="42" t="str">
        <f>IFERROR(INDEX(Mots!$B:$B,MATCH($A165,Mots!$A:$A,0)),"introuvable")</f>
        <v>l'amour</v>
      </c>
      <c r="C165" s="23" t="s">
        <v>8039</v>
      </c>
    </row>
    <row r="166" spans="1:4" x14ac:dyDescent="0.35">
      <c r="A166" s="23" t="s">
        <v>1758</v>
      </c>
      <c r="B166" s="42" t="str">
        <f>IFERROR(INDEX(Mots!$B:$B,MATCH($A166,Mots!$A:$A,0)),"introuvable")</f>
        <v>le bonheur</v>
      </c>
      <c r="C166" s="23" t="s">
        <v>8040</v>
      </c>
    </row>
    <row r="167" spans="1:4" x14ac:dyDescent="0.35">
      <c r="A167" s="23" t="s">
        <v>1764</v>
      </c>
      <c r="B167" s="42" t="str">
        <f>IFERROR(INDEX(Mots!$B:$B,MATCH($A167,Mots!$A:$A,0)),"introuvable")</f>
        <v>le courage</v>
      </c>
      <c r="C167" s="23" t="s">
        <v>8041</v>
      </c>
    </row>
    <row r="168" spans="1:4" x14ac:dyDescent="0.35">
      <c r="A168" s="23" t="s">
        <v>1773</v>
      </c>
      <c r="B168" s="42" t="str">
        <f>IFERROR(INDEX(Mots!$B:$B,MATCH($A168,Mots!$A:$A,0)),"introuvable")</f>
        <v>le rêve</v>
      </c>
      <c r="C168" s="23" t="s">
        <v>8042</v>
      </c>
      <c r="D168" s="23" t="s">
        <v>8043</v>
      </c>
    </row>
    <row r="169" spans="1:4" x14ac:dyDescent="0.35">
      <c r="A169" s="23" t="s">
        <v>1778</v>
      </c>
      <c r="B169" s="42" t="str">
        <f>IFERROR(INDEX(Mots!$B:$B,MATCH($A169,Mots!$A:$A,0)),"introuvable")</f>
        <v>l'espoir</v>
      </c>
      <c r="C169" s="23" t="s">
        <v>8044</v>
      </c>
    </row>
    <row r="170" spans="1:4" x14ac:dyDescent="0.35">
      <c r="A170" s="23" t="s">
        <v>1829</v>
      </c>
      <c r="B170" s="42" t="str">
        <f>IFERROR(INDEX(Mots!$B:$B,MATCH($A170,Mots!$A:$A,0)),"introuvable")</f>
        <v>l'argent</v>
      </c>
      <c r="C170" s="23" t="s">
        <v>8045</v>
      </c>
    </row>
    <row r="171" spans="1:4" x14ac:dyDescent="0.35">
      <c r="A171" s="23" t="s">
        <v>1837</v>
      </c>
      <c r="B171" s="42" t="str">
        <f>IFERROR(INDEX(Mots!$B:$B,MATCH($A171,Mots!$A:$A,0)),"introuvable")</f>
        <v>le salaire</v>
      </c>
      <c r="C171" s="23" t="s">
        <v>8046</v>
      </c>
    </row>
    <row r="172" spans="1:4" x14ac:dyDescent="0.35">
      <c r="A172" s="23" t="s">
        <v>1842</v>
      </c>
      <c r="B172" s="42" t="str">
        <f>IFERROR(INDEX(Mots!$B:$B,MATCH($A172,Mots!$A:$A,0)),"introuvable")</f>
        <v>le fruit</v>
      </c>
      <c r="C172" s="23" t="s">
        <v>8047</v>
      </c>
      <c r="D172" s="24" t="s">
        <v>9984</v>
      </c>
    </row>
    <row r="173" spans="1:4" x14ac:dyDescent="0.35">
      <c r="A173" s="23" t="s">
        <v>1950</v>
      </c>
      <c r="B173" s="42" t="str">
        <f>IFERROR(INDEX(Mots!$B:$B,MATCH($A173,Mots!$A:$A,0)),"introuvable")</f>
        <v>la batterie</v>
      </c>
      <c r="C173" s="23" t="s">
        <v>9985</v>
      </c>
      <c r="D173" s="23" t="s">
        <v>8048</v>
      </c>
    </row>
    <row r="174" spans="1:4" x14ac:dyDescent="0.35">
      <c r="A174" s="23" t="s">
        <v>1954</v>
      </c>
      <c r="B174" s="42" t="str">
        <f>IFERROR(INDEX(Mots!$B:$B,MATCH($A174,Mots!$A:$A,0)),"introuvable")</f>
        <v>la grosse caisse</v>
      </c>
      <c r="C174" s="23" t="s">
        <v>8049</v>
      </c>
    </row>
    <row r="175" spans="1:4" x14ac:dyDescent="0.35">
      <c r="A175" s="23" t="s">
        <v>1958</v>
      </c>
      <c r="B175" s="42" t="str">
        <f>IFERROR(INDEX(Mots!$B:$B,MATCH($A175,Mots!$A:$A,0)),"introuvable")</f>
        <v>les cymbales</v>
      </c>
      <c r="C175" s="23" t="s">
        <v>8050</v>
      </c>
    </row>
    <row r="176" spans="1:4" x14ac:dyDescent="0.35">
      <c r="A176" s="23" t="s">
        <v>1961</v>
      </c>
      <c r="B176" s="42" t="str">
        <f>IFERROR(INDEX(Mots!$B:$B,MATCH($A176,Mots!$A:$A,0)),"introuvable")</f>
        <v>les timbales</v>
      </c>
      <c r="C176" s="23" t="s">
        <v>8051</v>
      </c>
    </row>
    <row r="177" spans="1:4" x14ac:dyDescent="0.35">
      <c r="A177" s="23" t="s">
        <v>1964</v>
      </c>
      <c r="B177" s="42" t="str">
        <f>IFERROR(INDEX(Mots!$B:$B,MATCH($A177,Mots!$A:$A,0)),"introuvable")</f>
        <v>le xylophone</v>
      </c>
      <c r="C177" s="23" t="s">
        <v>8052</v>
      </c>
      <c r="D177" s="24" t="s">
        <v>9987</v>
      </c>
    </row>
    <row r="178" spans="1:4" x14ac:dyDescent="0.35">
      <c r="A178" s="23" t="s">
        <v>1967</v>
      </c>
      <c r="B178" s="42" t="str">
        <f>IFERROR(INDEX(Mots!$B:$B,MATCH($A178,Mots!$A:$A,0)),"introuvable")</f>
        <v>le vibraphone</v>
      </c>
      <c r="C178" s="23" t="s">
        <v>9986</v>
      </c>
      <c r="D178" s="24" t="s">
        <v>9988</v>
      </c>
    </row>
    <row r="179" spans="1:4" x14ac:dyDescent="0.35">
      <c r="A179" s="23" t="s">
        <v>1970</v>
      </c>
      <c r="B179" s="42" t="str">
        <f>IFERROR(INDEX(Mots!$B:$B,MATCH($A179,Mots!$A:$A,0)),"introuvable")</f>
        <v>le marimba</v>
      </c>
      <c r="C179" s="23" t="s">
        <v>8053</v>
      </c>
    </row>
    <row r="180" spans="1:4" x14ac:dyDescent="0.35">
      <c r="A180" s="23" t="s">
        <v>1981</v>
      </c>
      <c r="B180" s="42" t="str">
        <f>IFERROR(INDEX(Mots!$B:$B,MATCH($A180,Mots!$A:$A,0)),"introuvable")</f>
        <v>le cornet</v>
      </c>
      <c r="C180" s="23" t="s">
        <v>8054</v>
      </c>
    </row>
    <row r="181" spans="1:4" x14ac:dyDescent="0.35">
      <c r="A181" s="23" t="s">
        <v>1984</v>
      </c>
      <c r="B181" s="42" t="str">
        <f>IFERROR(INDEX(Mots!$B:$B,MATCH($A181,Mots!$A:$A,0)),"introuvable")</f>
        <v>le bugle</v>
      </c>
      <c r="C181" s="23" t="s">
        <v>8055</v>
      </c>
    </row>
    <row r="182" spans="1:4" x14ac:dyDescent="0.35">
      <c r="A182" s="23" t="s">
        <v>1988</v>
      </c>
      <c r="B182" s="42" t="str">
        <f>IFERROR(INDEX(Mots!$B:$B,MATCH($A182,Mots!$A:$A,0)),"introuvable")</f>
        <v>l'alto</v>
      </c>
      <c r="C182" s="23" t="s">
        <v>8056</v>
      </c>
    </row>
    <row r="183" spans="1:4" x14ac:dyDescent="0.35">
      <c r="A183" s="23" t="s">
        <v>1992</v>
      </c>
      <c r="B183" s="42" t="str">
        <f>IFERROR(INDEX(Mots!$B:$B,MATCH($A183,Mots!$A:$A,0)),"introuvable")</f>
        <v>le baryton</v>
      </c>
      <c r="C183" s="23" t="s">
        <v>8057</v>
      </c>
    </row>
    <row r="184" spans="1:4" x14ac:dyDescent="0.35">
      <c r="A184" s="23" t="s">
        <v>1996</v>
      </c>
      <c r="B184" s="42" t="str">
        <f>IFERROR(INDEX(Mots!$B:$B,MATCH($A184,Mots!$A:$A,0)),"introuvable")</f>
        <v>l'euphonium</v>
      </c>
      <c r="C184" s="23" t="s">
        <v>8058</v>
      </c>
    </row>
    <row r="185" spans="1:4" x14ac:dyDescent="0.35">
      <c r="A185" s="23" t="s">
        <v>2000</v>
      </c>
      <c r="B185" s="42" t="str">
        <f>IFERROR(INDEX(Mots!$B:$B,MATCH($A185,Mots!$A:$A,0)),"introuvable")</f>
        <v>la basse</v>
      </c>
      <c r="C185" s="23" t="s">
        <v>8059</v>
      </c>
    </row>
    <row r="186" spans="1:4" x14ac:dyDescent="0.35">
      <c r="A186" s="23" t="s">
        <v>2004</v>
      </c>
      <c r="B186" s="42" t="str">
        <f>IFERROR(INDEX(Mots!$B:$B,MATCH($A186,Mots!$A:$A,0)),"introuvable")</f>
        <v>le trombone</v>
      </c>
      <c r="C186" s="23" t="s">
        <v>8060</v>
      </c>
    </row>
    <row r="187" spans="1:4" x14ac:dyDescent="0.35">
      <c r="A187" s="23" t="s">
        <v>2008</v>
      </c>
      <c r="B187" s="42" t="str">
        <f>IFERROR(INDEX(Mots!$B:$B,MATCH($A187,Mots!$A:$A,0)),"introuvable")</f>
        <v>le légume</v>
      </c>
      <c r="C187" s="23" t="s">
        <v>8061</v>
      </c>
    </row>
    <row r="188" spans="1:4" x14ac:dyDescent="0.35">
      <c r="A188" s="23" t="s">
        <v>9396</v>
      </c>
      <c r="B188" s="42" t="str">
        <f>IFERROR(INDEX(Mots!$B:$B,MATCH($A188,Mots!$A:$A,0)),"introuvable")</f>
        <v>la pomme de terre</v>
      </c>
      <c r="C188" s="23" t="s">
        <v>9989</v>
      </c>
      <c r="D188" s="23" t="s">
        <v>9990</v>
      </c>
    </row>
    <row r="189" spans="1:4" x14ac:dyDescent="0.35">
      <c r="A189" s="23" t="s">
        <v>2016</v>
      </c>
      <c r="B189" s="42" t="str">
        <f>IFERROR(INDEX(Mots!$B:$B,MATCH($A189,Mots!$A:$A,0)),"introuvable")</f>
        <v>la carotte</v>
      </c>
      <c r="C189" s="23" t="s">
        <v>8062</v>
      </c>
    </row>
    <row r="190" spans="1:4" x14ac:dyDescent="0.35">
      <c r="A190" s="23" t="s">
        <v>2020</v>
      </c>
      <c r="B190" s="42" t="str">
        <f>IFERROR(INDEX(Mots!$B:$B,MATCH($A190,Mots!$A:$A,0)),"introuvable")</f>
        <v>la tomate</v>
      </c>
      <c r="C190" s="23" t="s">
        <v>9991</v>
      </c>
      <c r="D190" s="23" t="s">
        <v>8063</v>
      </c>
    </row>
    <row r="191" spans="1:4" x14ac:dyDescent="0.35">
      <c r="A191" s="23" t="s">
        <v>2024</v>
      </c>
      <c r="B191" s="42" t="str">
        <f>IFERROR(INDEX(Mots!$B:$B,MATCH($A191,Mots!$A:$A,0)),"introuvable")</f>
        <v>le chou-fleur</v>
      </c>
      <c r="C191" s="23" t="s">
        <v>8064</v>
      </c>
    </row>
    <row r="192" spans="1:4" x14ac:dyDescent="0.35">
      <c r="A192" s="23" t="s">
        <v>2028</v>
      </c>
      <c r="B192" s="42" t="str">
        <f>IFERROR(INDEX(Mots!$B:$B,MATCH($A192,Mots!$A:$A,0)),"introuvable")</f>
        <v>le poireau</v>
      </c>
      <c r="C192" s="23" t="s">
        <v>8065</v>
      </c>
    </row>
    <row r="193" spans="1:5" x14ac:dyDescent="0.35">
      <c r="A193" s="23" t="s">
        <v>2040</v>
      </c>
      <c r="B193" s="42" t="str">
        <f>IFERROR(INDEX(Mots!$B:$B,MATCH($A193,Mots!$A:$A,0)),"introuvable")</f>
        <v>la courgette</v>
      </c>
      <c r="C193" s="23" t="s">
        <v>8066</v>
      </c>
    </row>
    <row r="194" spans="1:5" x14ac:dyDescent="0.35">
      <c r="A194" s="23" t="s">
        <v>82</v>
      </c>
      <c r="B194" s="42" t="str">
        <f>IFERROR(INDEX(Mots!$B:$B,MATCH($A194,Mots!$A:$A,0)),"introuvable")</f>
        <v>la ville</v>
      </c>
      <c r="C194" s="23" t="s">
        <v>9992</v>
      </c>
      <c r="D194" s="23" t="s">
        <v>8067</v>
      </c>
    </row>
    <row r="195" spans="1:5" x14ac:dyDescent="0.35">
      <c r="A195" s="23" t="s">
        <v>2076</v>
      </c>
      <c r="B195" s="42" t="str">
        <f>IFERROR(INDEX(Mots!$B:$B,MATCH($A195,Mots!$A:$A,0)),"introuvable")</f>
        <v>la rue</v>
      </c>
      <c r="C195" s="23" t="s">
        <v>9993</v>
      </c>
    </row>
    <row r="196" spans="1:5" x14ac:dyDescent="0.35">
      <c r="A196" s="23" t="s">
        <v>2085</v>
      </c>
      <c r="B196" s="42" t="str">
        <f>IFERROR(INDEX(Mots!$B:$B,MATCH($A196,Mots!$A:$A,0)),"introuvable")</f>
        <v>le pont</v>
      </c>
      <c r="C196" s="23" t="s">
        <v>9994</v>
      </c>
      <c r="D196" s="24" t="s">
        <v>9995</v>
      </c>
    </row>
    <row r="197" spans="1:5" x14ac:dyDescent="0.35">
      <c r="A197" s="23" t="s">
        <v>2094</v>
      </c>
      <c r="B197" s="42" t="str">
        <f>IFERROR(INDEX(Mots!$B:$B,MATCH($A197,Mots!$A:$A,0)),"introuvable")</f>
        <v>le parc</v>
      </c>
      <c r="C197" s="23" t="s">
        <v>9996</v>
      </c>
    </row>
    <row r="198" spans="1:5" x14ac:dyDescent="0.35">
      <c r="A198" s="23" t="s">
        <v>2115</v>
      </c>
      <c r="B198" s="42" t="str">
        <f>IFERROR(INDEX(Mots!$B:$B,MATCH($A198,Mots!$A:$A,0)),"introuvable")</f>
        <v>le doigt</v>
      </c>
      <c r="C198" s="23" t="s">
        <v>9997</v>
      </c>
      <c r="D198" s="23" t="s">
        <v>8068</v>
      </c>
    </row>
    <row r="199" spans="1:5" x14ac:dyDescent="0.35">
      <c r="A199" s="23" t="s">
        <v>2119</v>
      </c>
      <c r="B199" s="42" t="str">
        <f>IFERROR(INDEX(Mots!$B:$B,MATCH($A199,Mots!$A:$A,0)),"introuvable")</f>
        <v>la main</v>
      </c>
      <c r="C199" s="23" t="s">
        <v>8069</v>
      </c>
      <c r="D199" s="24" t="s">
        <v>9998</v>
      </c>
    </row>
    <row r="200" spans="1:5" x14ac:dyDescent="0.35">
      <c r="A200" s="23" t="s">
        <v>2124</v>
      </c>
      <c r="B200" s="42" t="str">
        <f>IFERROR(INDEX(Mots!$B:$B,MATCH($A200,Mots!$A:$A,0)),"introuvable")</f>
        <v>le bras</v>
      </c>
      <c r="C200" s="23" t="s">
        <v>8070</v>
      </c>
    </row>
    <row r="201" spans="1:5" x14ac:dyDescent="0.35">
      <c r="A201" s="23" t="s">
        <v>2129</v>
      </c>
      <c r="B201" s="42" t="str">
        <f>IFERROR(INDEX(Mots!$B:$B,MATCH($A201,Mots!$A:$A,0)),"introuvable")</f>
        <v>la jambe</v>
      </c>
      <c r="C201" s="23" t="s">
        <v>9999</v>
      </c>
      <c r="D201" s="23" t="s">
        <v>8071</v>
      </c>
    </row>
    <row r="202" spans="1:5" x14ac:dyDescent="0.35">
      <c r="A202" s="23" t="s">
        <v>2134</v>
      </c>
      <c r="B202" s="42" t="str">
        <f>IFERROR(INDEX(Mots!$B:$B,MATCH($A202,Mots!$A:$A,0)),"introuvable")</f>
        <v>la cuisse</v>
      </c>
      <c r="C202" s="23" t="s">
        <v>8072</v>
      </c>
    </row>
    <row r="203" spans="1:5" x14ac:dyDescent="0.35">
      <c r="A203" s="23" t="s">
        <v>2139</v>
      </c>
      <c r="B203" s="42" t="str">
        <f>IFERROR(INDEX(Mots!$B:$B,MATCH($A203,Mots!$A:$A,0)),"introuvable")</f>
        <v>le pied</v>
      </c>
      <c r="C203" s="23" t="s">
        <v>8073</v>
      </c>
    </row>
    <row r="204" spans="1:5" x14ac:dyDescent="0.35">
      <c r="A204" s="23" t="s">
        <v>2156</v>
      </c>
      <c r="B204" s="42" t="str">
        <f>IFERROR(INDEX(Mots!$B:$B,MATCH($A204,Mots!$A:$A,0)),"introuvable")</f>
        <v>le médecin</v>
      </c>
      <c r="C204" s="23" t="s">
        <v>8074</v>
      </c>
    </row>
    <row r="205" spans="1:5" x14ac:dyDescent="0.35">
      <c r="A205" s="23" t="s">
        <v>2169</v>
      </c>
      <c r="B205" s="42" t="str">
        <f>IFERROR(INDEX(Mots!$B:$B,MATCH($A205,Mots!$A:$A,0)),"introuvable")</f>
        <v>le policier</v>
      </c>
      <c r="C205" s="23" t="s">
        <v>8075</v>
      </c>
    </row>
    <row r="206" spans="1:5" x14ac:dyDescent="0.35">
      <c r="A206" s="23" t="s">
        <v>2216</v>
      </c>
      <c r="B206" s="42" t="str">
        <f>IFERROR(INDEX(Mots!$B:$B,MATCH($A206,Mots!$A:$A,0)),"introuvable")</f>
        <v>le professeur</v>
      </c>
      <c r="C206" s="23" t="s">
        <v>8076</v>
      </c>
    </row>
    <row r="207" spans="1:5" x14ac:dyDescent="0.35">
      <c r="A207" s="23" t="s">
        <v>2333</v>
      </c>
      <c r="B207" s="42" t="str">
        <f>IFERROR(INDEX(Mots!$B:$B,MATCH($A207,Mots!$A:$A,0)),"introuvable")</f>
        <v>le téléphone ou l'Iphone</v>
      </c>
      <c r="C207" s="23" t="s">
        <v>8077</v>
      </c>
      <c r="D207" s="23" t="s">
        <v>10000</v>
      </c>
      <c r="E207" s="23" t="s">
        <v>10001</v>
      </c>
    </row>
    <row r="208" spans="1:5" x14ac:dyDescent="0.35">
      <c r="A208" s="23" t="s">
        <v>2369</v>
      </c>
      <c r="B208" s="42" t="str">
        <f>IFERROR(INDEX(Mots!$B:$B,MATCH($A208,Mots!$A:$A,0)),"introuvable")</f>
        <v>beau  ↔  laid</v>
      </c>
      <c r="C208" s="23" t="s">
        <v>10002</v>
      </c>
    </row>
    <row r="209" spans="1:4" x14ac:dyDescent="0.35">
      <c r="A209" s="23" t="s">
        <v>2407</v>
      </c>
      <c r="B209" s="42" t="str">
        <f>IFERROR(INDEX(Mots!$B:$B,MATCH($A209,Mots!$A:$A,0)),"introuvable")</f>
        <v>content  ↔  triste</v>
      </c>
      <c r="C209" s="23" t="s">
        <v>8078</v>
      </c>
    </row>
    <row r="210" spans="1:4" x14ac:dyDescent="0.35">
      <c r="A210" s="23" t="s">
        <v>2433</v>
      </c>
      <c r="B210" s="42" t="str">
        <f>IFERROR(INDEX(Mots!$B:$B,MATCH($A210,Mots!$A:$A,0)),"introuvable")</f>
        <v>dur  ↔  mou</v>
      </c>
      <c r="C210" s="23" t="s">
        <v>8079</v>
      </c>
    </row>
    <row r="211" spans="1:4" x14ac:dyDescent="0.35">
      <c r="A211" s="23" t="s">
        <v>2445</v>
      </c>
      <c r="B211" s="42" t="str">
        <f>IFERROR(INDEX(Mots!$B:$B,MATCH($A211,Mots!$A:$A,0)),"introuvable")</f>
        <v>facile  ↔  difficile</v>
      </c>
      <c r="C211" s="23" t="s">
        <v>8080</v>
      </c>
    </row>
    <row r="212" spans="1:4" x14ac:dyDescent="0.35">
      <c r="A212" s="23" t="s">
        <v>2481</v>
      </c>
      <c r="B212" s="42" t="str">
        <f>IFERROR(INDEX(Mots!$B:$B,MATCH($A212,Mots!$A:$A,0)),"introuvable")</f>
        <v>haut  ↔  bas</v>
      </c>
      <c r="C212" s="23" t="s">
        <v>8081</v>
      </c>
    </row>
    <row r="213" spans="1:4" x14ac:dyDescent="0.35">
      <c r="A213" s="23" t="s">
        <v>2551</v>
      </c>
      <c r="B213" s="42" t="str">
        <f>IFERROR(INDEX(Mots!$B:$B,MATCH($A213,Mots!$A:$A,0)),"introuvable")</f>
        <v>rapide  ↔  lent</v>
      </c>
      <c r="C213" s="23" t="s">
        <v>10009</v>
      </c>
      <c r="D213" s="24" t="s">
        <v>10010</v>
      </c>
    </row>
    <row r="214" spans="1:4" x14ac:dyDescent="0.35">
      <c r="A214" s="23" t="s">
        <v>2575</v>
      </c>
      <c r="B214" s="42" t="str">
        <f>IFERROR(INDEX(Mots!$B:$B,MATCH($A214,Mots!$A:$A,0)),"introuvable")</f>
        <v>silencieux  ↔  bruyant</v>
      </c>
      <c r="C214" s="23" t="s">
        <v>10011</v>
      </c>
      <c r="D214" s="24" t="s">
        <v>10012</v>
      </c>
    </row>
    <row r="215" spans="1:4" x14ac:dyDescent="0.35">
      <c r="A215" s="23" t="s">
        <v>2639</v>
      </c>
      <c r="B215" s="42" t="str">
        <f>IFERROR(INDEX(Mots!$B:$B,MATCH($A215,Mots!$A:$A,0)),"introuvable")</f>
        <v>l'aigle</v>
      </c>
      <c r="C215" s="23" t="s">
        <v>8082</v>
      </c>
    </row>
    <row r="216" spans="1:4" x14ac:dyDescent="0.35">
      <c r="A216" s="23" t="s">
        <v>2648</v>
      </c>
      <c r="B216" s="42" t="str">
        <f>IFERROR(INDEX(Mots!$B:$B,MATCH($A216,Mots!$A:$A,0)),"introuvable")</f>
        <v>le gypaète barbu</v>
      </c>
      <c r="C216" s="23" t="s">
        <v>8083</v>
      </c>
    </row>
    <row r="217" spans="1:4" x14ac:dyDescent="0.35">
      <c r="A217" s="23" t="s">
        <v>2653</v>
      </c>
      <c r="B217" s="42" t="str">
        <f>IFERROR(INDEX(Mots!$B:$B,MATCH($A217,Mots!$A:$A,0)),"introuvable")</f>
        <v>le moineau</v>
      </c>
      <c r="C217" s="23" t="s">
        <v>10013</v>
      </c>
      <c r="D217" s="24" t="s">
        <v>10014</v>
      </c>
    </row>
    <row r="218" spans="1:4" x14ac:dyDescent="0.35">
      <c r="A218" s="23" t="s">
        <v>2658</v>
      </c>
      <c r="B218" s="42" t="str">
        <f>IFERROR(INDEX(Mots!$B:$B,MATCH($A218,Mots!$A:$A,0)),"introuvable")</f>
        <v>le pigeon</v>
      </c>
      <c r="C218" s="23" t="s">
        <v>8084</v>
      </c>
    </row>
    <row r="219" spans="1:4" x14ac:dyDescent="0.35">
      <c r="A219" s="23" t="s">
        <v>2662</v>
      </c>
      <c r="B219" s="42" t="str">
        <f>IFERROR(INDEX(Mots!$B:$B,MATCH($A219,Mots!$A:$A,0)),"introuvable")</f>
        <v>une pizza</v>
      </c>
      <c r="C219" s="23" t="s">
        <v>8085</v>
      </c>
    </row>
    <row r="220" spans="1:4" x14ac:dyDescent="0.35">
      <c r="A220" s="23" t="s">
        <v>2671</v>
      </c>
      <c r="B220" s="42" t="str">
        <f>IFERROR(INDEX(Mots!$B:$B,MATCH($A220,Mots!$A:$A,0)),"introuvable")</f>
        <v>les lasagnes</v>
      </c>
      <c r="C220" s="23" t="s">
        <v>8086</v>
      </c>
    </row>
    <row r="221" spans="1:4" x14ac:dyDescent="0.35">
      <c r="A221" s="23" t="s">
        <v>2680</v>
      </c>
      <c r="B221" s="42" t="str">
        <f>IFERROR(INDEX(Mots!$B:$B,MATCH($A221,Mots!$A:$A,0)),"introuvable")</f>
        <v>les spaghetti</v>
      </c>
      <c r="C221" s="23" t="s">
        <v>8087</v>
      </c>
    </row>
    <row r="222" spans="1:4" x14ac:dyDescent="0.35">
      <c r="A222" s="23" t="s">
        <v>2689</v>
      </c>
      <c r="B222" s="42" t="str">
        <f>IFERROR(INDEX(Mots!$B:$B,MATCH($A222,Mots!$A:$A,0)),"introuvable")</f>
        <v>un oeuf au plat</v>
      </c>
      <c r="C222" s="23" t="s">
        <v>8088</v>
      </c>
    </row>
    <row r="223" spans="1:4" x14ac:dyDescent="0.35">
      <c r="A223" s="23" t="s">
        <v>2694</v>
      </c>
      <c r="B223" s="42" t="str">
        <f>IFERROR(INDEX(Mots!$B:$B,MATCH($A223,Mots!$A:$A,0)),"introuvable")</f>
        <v>l'omelette</v>
      </c>
      <c r="C223" s="23" t="s">
        <v>8089</v>
      </c>
    </row>
    <row r="224" spans="1:4" x14ac:dyDescent="0.35">
      <c r="A224" s="23" t="s">
        <v>2710</v>
      </c>
      <c r="B224" s="42" t="str">
        <f>IFERROR(INDEX(Mots!$B:$B,MATCH($A224,Mots!$A:$A,0)),"introuvable")</f>
        <v>la soupe</v>
      </c>
      <c r="C224" s="23" t="s">
        <v>8090</v>
      </c>
    </row>
    <row r="225" spans="1:4" x14ac:dyDescent="0.35">
      <c r="A225" s="23" t="s">
        <v>2715</v>
      </c>
      <c r="B225" s="42" t="str">
        <f>IFERROR(INDEX(Mots!$B:$B,MATCH($A225,Mots!$A:$A,0)),"introuvable")</f>
        <v>des filets de perche</v>
      </c>
      <c r="C225" s="23" t="s">
        <v>8091</v>
      </c>
    </row>
    <row r="226" spans="1:4" x14ac:dyDescent="0.35">
      <c r="A226" s="23" t="s">
        <v>2718</v>
      </c>
      <c r="B226" s="42" t="str">
        <f>IFERROR(INDEX(Mots!$B:$B,MATCH($A226,Mots!$A:$A,0)),"introuvable")</f>
        <v>un filet de truite</v>
      </c>
      <c r="C226" s="23" t="s">
        <v>8092</v>
      </c>
    </row>
    <row r="227" spans="1:4" x14ac:dyDescent="0.35">
      <c r="A227" s="23" t="s">
        <v>2721</v>
      </c>
      <c r="B227" s="42" t="str">
        <f>IFERROR(INDEX(Mots!$B:$B,MATCH($A227,Mots!$A:$A,0)),"introuvable")</f>
        <v>l'ami</v>
      </c>
      <c r="C227" s="23" t="s">
        <v>10015</v>
      </c>
      <c r="D227" s="23" t="s">
        <v>8093</v>
      </c>
    </row>
    <row r="228" spans="1:4" x14ac:dyDescent="0.35">
      <c r="A228" s="23" t="s">
        <v>2726</v>
      </c>
      <c r="B228" s="42" t="str">
        <f>IFERROR(INDEX(Mots!$B:$B,MATCH($A228,Mots!$A:$A,0)),"introuvable")</f>
        <v>la banque</v>
      </c>
      <c r="C228" s="23" t="s">
        <v>10016</v>
      </c>
    </row>
    <row r="229" spans="1:4" x14ac:dyDescent="0.35">
      <c r="A229" s="23" t="s">
        <v>2732</v>
      </c>
      <c r="B229" s="42" t="str">
        <f>IFERROR(INDEX(Mots!$B:$B,MATCH($A229,Mots!$A:$A,0)),"introuvable")</f>
        <v>le magasin</v>
      </c>
      <c r="C229" s="23" t="s">
        <v>10017</v>
      </c>
    </row>
    <row r="230" spans="1:4" x14ac:dyDescent="0.35">
      <c r="A230" s="23" t="s">
        <v>9406</v>
      </c>
      <c r="B230" s="42" t="str">
        <f>IFERROR(INDEX(Mots!$B:$B,MATCH($A230,Mots!$A:$A,0)),"introuvable")</f>
        <v>le marché</v>
      </c>
      <c r="C230" s="23" t="s">
        <v>8094</v>
      </c>
    </row>
    <row r="231" spans="1:4" x14ac:dyDescent="0.35">
      <c r="A231" s="23" t="s">
        <v>2744</v>
      </c>
      <c r="B231" s="42" t="str">
        <f>IFERROR(INDEX(Mots!$B:$B,MATCH($A231,Mots!$A:$A,0)),"introuvable")</f>
        <v>le restaurant</v>
      </c>
      <c r="C231" s="23" t="s">
        <v>8095</v>
      </c>
    </row>
    <row r="232" spans="1:4" x14ac:dyDescent="0.35">
      <c r="A232" s="23" t="s">
        <v>2753</v>
      </c>
      <c r="B232" s="42" t="str">
        <f>IFERROR(INDEX(Mots!$B:$B,MATCH($A232,Mots!$A:$A,0)),"introuvable")</f>
        <v>l'hôtel</v>
      </c>
      <c r="C232" s="23" t="s">
        <v>8096</v>
      </c>
    </row>
    <row r="233" spans="1:4" x14ac:dyDescent="0.35">
      <c r="A233" s="23" t="s">
        <v>2762</v>
      </c>
      <c r="B233" s="42" t="str">
        <f>IFERROR(INDEX(Mots!$B:$B,MATCH($A233,Mots!$A:$A,0)),"introuvable")</f>
        <v>la salle de bain</v>
      </c>
      <c r="C233" s="23" t="s">
        <v>8097</v>
      </c>
    </row>
    <row r="234" spans="1:4" x14ac:dyDescent="0.35">
      <c r="A234" s="23" t="s">
        <v>2765</v>
      </c>
      <c r="B234" s="42" t="str">
        <f>IFERROR(INDEX(Mots!$B:$B,MATCH($A234,Mots!$A:$A,0)),"introuvable")</f>
        <v>le lavabo</v>
      </c>
      <c r="C234" s="23" t="s">
        <v>8098</v>
      </c>
    </row>
    <row r="235" spans="1:4" x14ac:dyDescent="0.35">
      <c r="A235" s="23" t="s">
        <v>2768</v>
      </c>
      <c r="B235" s="42" t="str">
        <f>IFERROR(INDEX(Mots!$B:$B,MATCH($A235,Mots!$A:$A,0)),"introuvable")</f>
        <v>le savon</v>
      </c>
      <c r="C235" s="23" t="s">
        <v>8099</v>
      </c>
    </row>
    <row r="236" spans="1:4" x14ac:dyDescent="0.35">
      <c r="A236" s="23" t="s">
        <v>2772</v>
      </c>
      <c r="B236" s="42" t="str">
        <f>IFERROR(INDEX(Mots!$B:$B,MATCH($A236,Mots!$A:$A,0)),"introuvable")</f>
        <v>le miroir</v>
      </c>
      <c r="C236" s="23" t="s">
        <v>8100</v>
      </c>
    </row>
    <row r="237" spans="1:4" x14ac:dyDescent="0.35">
      <c r="A237" s="23" t="s">
        <v>2775</v>
      </c>
      <c r="B237" s="42" t="str">
        <f>IFERROR(INDEX(Mots!$B:$B,MATCH($A237,Mots!$A:$A,0)),"introuvable")</f>
        <v>le WC</v>
      </c>
      <c r="C237" s="23" t="s">
        <v>8101</v>
      </c>
    </row>
    <row r="238" spans="1:4" x14ac:dyDescent="0.35">
      <c r="A238" s="23" t="s">
        <v>2779</v>
      </c>
      <c r="B238" s="42" t="str">
        <f>IFERROR(INDEX(Mots!$B:$B,MATCH($A238,Mots!$A:$A,0)),"introuvable")</f>
        <v>la douche</v>
      </c>
      <c r="C238" s="23" t="s">
        <v>8102</v>
      </c>
    </row>
    <row r="239" spans="1:4" x14ac:dyDescent="0.35">
      <c r="A239" s="23" t="s">
        <v>2783</v>
      </c>
      <c r="B239" s="42" t="str">
        <f>IFERROR(INDEX(Mots!$B:$B,MATCH($A239,Mots!$A:$A,0)),"introuvable")</f>
        <v>la baignoire</v>
      </c>
      <c r="C239" s="23" t="s">
        <v>8103</v>
      </c>
    </row>
    <row r="240" spans="1:4" x14ac:dyDescent="0.35">
      <c r="A240" s="23" t="s">
        <v>2786</v>
      </c>
      <c r="B240" s="42" t="str">
        <f>IFERROR(INDEX(Mots!$B:$B,MATCH($A240,Mots!$A:$A,0)),"introuvable")</f>
        <v>le rasoir</v>
      </c>
      <c r="C240" s="23" t="s">
        <v>8104</v>
      </c>
    </row>
    <row r="241" spans="1:4" x14ac:dyDescent="0.35">
      <c r="A241" s="23" t="s">
        <v>2790</v>
      </c>
      <c r="B241" s="42" t="str">
        <f>IFERROR(INDEX(Mots!$B:$B,MATCH($A241,Mots!$A:$A,0)),"introuvable")</f>
        <v>le déodorant</v>
      </c>
      <c r="C241" s="23" t="s">
        <v>10018</v>
      </c>
    </row>
    <row r="242" spans="1:4" x14ac:dyDescent="0.35">
      <c r="A242" s="23" t="s">
        <v>2793</v>
      </c>
      <c r="B242" s="42" t="str">
        <f>IFERROR(INDEX(Mots!$B:$B,MATCH($A242,Mots!$A:$A,0)),"introuvable")</f>
        <v>le dentifrice</v>
      </c>
      <c r="C242" s="23" t="s">
        <v>8105</v>
      </c>
    </row>
    <row r="243" spans="1:4" x14ac:dyDescent="0.35">
      <c r="A243" s="23" t="s">
        <v>2797</v>
      </c>
      <c r="B243" s="42" t="str">
        <f>IFERROR(INDEX(Mots!$B:$B,MATCH($A243,Mots!$A:$A,0)),"introuvable")</f>
        <v>la brosse à dents</v>
      </c>
      <c r="C243" s="23" t="s">
        <v>8106</v>
      </c>
    </row>
    <row r="244" spans="1:4" x14ac:dyDescent="0.35">
      <c r="A244" s="23" t="s">
        <v>2804</v>
      </c>
      <c r="B244" s="42" t="str">
        <f>IFERROR(INDEX(Mots!$B:$B,MATCH($A244,Mots!$A:$A,0)),"introuvable")</f>
        <v>la fleur</v>
      </c>
      <c r="C244" s="23" t="s">
        <v>8107</v>
      </c>
    </row>
    <row r="245" spans="1:4" x14ac:dyDescent="0.35">
      <c r="A245" s="23" t="s">
        <v>2811</v>
      </c>
      <c r="B245" s="42" t="str">
        <f>IFERROR(INDEX(Mots!$B:$B,MATCH($A245,Mots!$A:$A,0)),"introuvable")</f>
        <v>la plante</v>
      </c>
      <c r="C245" s="23" t="s">
        <v>8108</v>
      </c>
    </row>
    <row r="246" spans="1:4" x14ac:dyDescent="0.35">
      <c r="A246" s="23" t="s">
        <v>2820</v>
      </c>
      <c r="B246" s="42" t="str">
        <f>IFERROR(INDEX(Mots!$B:$B,MATCH($A246,Mots!$A:$A,0)),"introuvable")</f>
        <v>l'arbre</v>
      </c>
      <c r="C246" s="23" t="s">
        <v>10019</v>
      </c>
    </row>
    <row r="247" spans="1:4" x14ac:dyDescent="0.35">
      <c r="A247" s="23" t="s">
        <v>2825</v>
      </c>
      <c r="B247" s="42" t="str">
        <f>IFERROR(INDEX(Mots!$B:$B,MATCH($A247,Mots!$A:$A,0)),"introuvable")</f>
        <v>l'herbe</v>
      </c>
      <c r="C247" s="23" t="s">
        <v>10020</v>
      </c>
      <c r="D247" s="24" t="s">
        <v>10021</v>
      </c>
    </row>
    <row r="248" spans="1:4" x14ac:dyDescent="0.35">
      <c r="A248" s="23" t="s">
        <v>2834</v>
      </c>
      <c r="B248" s="42" t="str">
        <f>IFERROR(INDEX(Mots!$B:$B,MATCH($A248,Mots!$A:$A,0)),"introuvable")</f>
        <v>le vélo</v>
      </c>
      <c r="C248" s="23" t="s">
        <v>8109</v>
      </c>
    </row>
    <row r="249" spans="1:4" x14ac:dyDescent="0.35">
      <c r="A249" s="23" t="s">
        <v>2843</v>
      </c>
      <c r="B249" s="42" t="str">
        <f>IFERROR(INDEX(Mots!$B:$B,MATCH($A249,Mots!$A:$A,0)),"introuvable")</f>
        <v>la moto</v>
      </c>
      <c r="C249" s="23" t="s">
        <v>8110</v>
      </c>
    </row>
    <row r="250" spans="1:4" x14ac:dyDescent="0.35">
      <c r="A250" s="23" t="s">
        <v>2846</v>
      </c>
      <c r="B250" s="42" t="str">
        <f>IFERROR(INDEX(Mots!$B:$B,MATCH($A250,Mots!$A:$A,0)),"introuvable")</f>
        <v>la voiture</v>
      </c>
      <c r="C250" s="23" t="s">
        <v>10022</v>
      </c>
    </row>
    <row r="251" spans="1:4" x14ac:dyDescent="0.35">
      <c r="A251" s="23" t="s">
        <v>2849</v>
      </c>
      <c r="B251" s="42" t="str">
        <f>IFERROR(INDEX(Mots!$B:$B,MATCH($A251,Mots!$A:$A,0)),"introuvable")</f>
        <v>le pickup</v>
      </c>
      <c r="C251" s="23" t="s">
        <v>10023</v>
      </c>
    </row>
    <row r="252" spans="1:4" x14ac:dyDescent="0.35">
      <c r="A252" s="23" t="s">
        <v>2852</v>
      </c>
      <c r="B252" s="42" t="str">
        <f>IFERROR(INDEX(Mots!$B:$B,MATCH($A252,Mots!$A:$A,0)),"introuvable")</f>
        <v>le  car postal</v>
      </c>
      <c r="C252" s="23" t="s">
        <v>8111</v>
      </c>
    </row>
    <row r="253" spans="1:4" x14ac:dyDescent="0.35">
      <c r="A253" s="23" t="s">
        <v>2856</v>
      </c>
      <c r="B253" s="42" t="str">
        <f>IFERROR(INDEX(Mots!$B:$B,MATCH($A253,Mots!$A:$A,0)),"introuvable")</f>
        <v>le camion</v>
      </c>
      <c r="C253" s="23" t="s">
        <v>8112</v>
      </c>
    </row>
    <row r="254" spans="1:4" x14ac:dyDescent="0.35">
      <c r="A254" s="23" t="s">
        <v>2859</v>
      </c>
      <c r="B254" s="42" t="str">
        <f>IFERROR(INDEX(Mots!$B:$B,MATCH($A254,Mots!$A:$A,0)),"introuvable")</f>
        <v>le tracteur</v>
      </c>
      <c r="C254" s="23" t="s">
        <v>10024</v>
      </c>
    </row>
    <row r="255" spans="1:4" x14ac:dyDescent="0.35">
      <c r="A255" s="23" t="s">
        <v>2862</v>
      </c>
      <c r="B255" s="42" t="str">
        <f>IFERROR(INDEX(Mots!$B:$B,MATCH($A255,Mots!$A:$A,0)),"introuvable")</f>
        <v>le train</v>
      </c>
      <c r="C255" s="23" t="s">
        <v>10026</v>
      </c>
    </row>
    <row r="256" spans="1:4" x14ac:dyDescent="0.35">
      <c r="A256" s="23" t="s">
        <v>2871</v>
      </c>
      <c r="B256" s="42" t="str">
        <f>IFERROR(INDEX(Mots!$B:$B,MATCH($A256,Mots!$A:$A,0)),"introuvable")</f>
        <v>la route</v>
      </c>
      <c r="C256" s="23" t="s">
        <v>8113</v>
      </c>
    </row>
    <row r="257" spans="1:3" x14ac:dyDescent="0.35">
      <c r="A257" s="23" t="s">
        <v>2876</v>
      </c>
      <c r="B257" s="42" t="str">
        <f>IFERROR(INDEX(Mots!$B:$B,MATCH($A257,Mots!$A:$A,0)),"introuvable")</f>
        <v>les feux de circulation</v>
      </c>
      <c r="C257" s="23" t="s">
        <v>8114</v>
      </c>
    </row>
    <row r="258" spans="1:3" x14ac:dyDescent="0.35">
      <c r="A258" s="23" t="s">
        <v>2884</v>
      </c>
      <c r="B258" s="42" t="str">
        <f>IFERROR(INDEX(Mots!$B:$B,MATCH($A258,Mots!$A:$A,0)),"introuvable")</f>
        <v>l'avion</v>
      </c>
      <c r="C258" s="23" t="s">
        <v>8115</v>
      </c>
    </row>
    <row r="259" spans="1:3" x14ac:dyDescent="0.35">
      <c r="A259" s="23" t="s">
        <v>2889</v>
      </c>
      <c r="B259" s="42" t="str">
        <f>IFERROR(INDEX(Mots!$B:$B,MATCH($A259,Mots!$A:$A,0)),"introuvable")</f>
        <v>l'helicoptère</v>
      </c>
      <c r="C259" s="23" t="s">
        <v>8116</v>
      </c>
    </row>
    <row r="260" spans="1:3" x14ac:dyDescent="0.35">
      <c r="A260" s="23" t="s">
        <v>2893</v>
      </c>
      <c r="B260" s="42" t="str">
        <f>IFERROR(INDEX(Mots!$B:$B,MATCH($A260,Mots!$A:$A,0)),"introuvable")</f>
        <v>le bateau</v>
      </c>
      <c r="C260" s="23" t="s">
        <v>8117</v>
      </c>
    </row>
    <row r="261" spans="1:3" x14ac:dyDescent="0.35">
      <c r="A261" s="23" t="s">
        <v>2901</v>
      </c>
      <c r="B261" s="42" t="str">
        <f>IFERROR(INDEX(Mots!$B:$B,MATCH($A261,Mots!$A:$A,0)),"introuvable")</f>
        <v>du rôti de boeuf</v>
      </c>
      <c r="C261" s="23" t="s">
        <v>8118</v>
      </c>
    </row>
    <row r="262" spans="1:3" x14ac:dyDescent="0.35">
      <c r="A262" s="23" t="s">
        <v>2903</v>
      </c>
      <c r="B262" s="42" t="str">
        <f>IFERROR(INDEX(Mots!$B:$B,MATCH($A262,Mots!$A:$A,0)),"introuvable")</f>
        <v>le boeuf</v>
      </c>
      <c r="C262" s="23" t="s">
        <v>8119</v>
      </c>
    </row>
    <row r="263" spans="1:3" x14ac:dyDescent="0.35">
      <c r="A263" s="23" t="s">
        <v>2907</v>
      </c>
      <c r="B263" s="42" t="str">
        <f>IFERROR(INDEX(Mots!$B:$B,MATCH($A263,Mots!$A:$A,0)),"introuvable")</f>
        <v>un steack de boeuf frites</v>
      </c>
      <c r="C263" s="23" t="s">
        <v>8120</v>
      </c>
    </row>
    <row r="264" spans="1:3" x14ac:dyDescent="0.35">
      <c r="A264" s="23" t="s">
        <v>2910</v>
      </c>
      <c r="B264" s="42" t="str">
        <f>IFERROR(INDEX(Mots!$B:$B,MATCH($A264,Mots!$A:$A,0)),"introuvable")</f>
        <v>le porc</v>
      </c>
      <c r="C264" s="23" t="s">
        <v>8121</v>
      </c>
    </row>
    <row r="265" spans="1:3" x14ac:dyDescent="0.35">
      <c r="A265" s="23" t="s">
        <v>2914</v>
      </c>
      <c r="B265" s="42" t="str">
        <f>IFERROR(INDEX(Mots!$B:$B,MATCH($A265,Mots!$A:$A,0)),"introuvable")</f>
        <v>du filet mignon de porc</v>
      </c>
      <c r="C265" s="23" t="s">
        <v>8122</v>
      </c>
    </row>
    <row r="266" spans="1:3" x14ac:dyDescent="0.35">
      <c r="A266" s="23" t="s">
        <v>2918</v>
      </c>
      <c r="B266" s="42" t="str">
        <f>IFERROR(INDEX(Mots!$B:$B,MATCH($A266,Mots!$A:$A,0)),"introuvable")</f>
        <v>du rôti de porc</v>
      </c>
      <c r="C266" s="23" t="s">
        <v>8123</v>
      </c>
    </row>
    <row r="267" spans="1:3" x14ac:dyDescent="0.35">
      <c r="A267" s="23" t="s">
        <v>2920</v>
      </c>
      <c r="B267" s="42" t="str">
        <f>IFERROR(INDEX(Mots!$B:$B,MATCH($A267,Mots!$A:$A,0)),"introuvable")</f>
        <v>une côtelette de porc</v>
      </c>
      <c r="C267" s="23" t="s">
        <v>8124</v>
      </c>
    </row>
    <row r="268" spans="1:3" x14ac:dyDescent="0.35">
      <c r="A268" s="23" t="s">
        <v>2924</v>
      </c>
      <c r="B268" s="42" t="str">
        <f>IFERROR(INDEX(Mots!$B:$B,MATCH($A268,Mots!$A:$A,0)),"introuvable")</f>
        <v>le poulet</v>
      </c>
      <c r="C268" s="23" t="s">
        <v>8125</v>
      </c>
    </row>
    <row r="269" spans="1:3" x14ac:dyDescent="0.35">
      <c r="A269" s="23" t="s">
        <v>2930</v>
      </c>
      <c r="B269" s="42" t="str">
        <f>IFERROR(INDEX(Mots!$B:$B,MATCH($A269,Mots!$A:$A,0)),"introuvable")</f>
        <v>un blanc de poulet</v>
      </c>
      <c r="C269" s="23" t="s">
        <v>8126</v>
      </c>
    </row>
    <row r="270" spans="1:3" x14ac:dyDescent="0.35">
      <c r="A270" s="23" t="s">
        <v>2934</v>
      </c>
      <c r="B270" s="42" t="str">
        <f>IFERROR(INDEX(Mots!$B:$B,MATCH($A270,Mots!$A:$A,0)),"introuvable")</f>
        <v>une cuisse de poulet</v>
      </c>
      <c r="C270" s="23" t="s">
        <v>8127</v>
      </c>
    </row>
    <row r="271" spans="1:3" x14ac:dyDescent="0.35">
      <c r="A271" s="23" t="s">
        <v>2938</v>
      </c>
      <c r="B271" s="42" t="str">
        <f>IFERROR(INDEX(Mots!$B:$B,MATCH($A271,Mots!$A:$A,0)),"introuvable")</f>
        <v>du poulet au curry</v>
      </c>
      <c r="C271" s="23" t="s">
        <v>8128</v>
      </c>
    </row>
    <row r="272" spans="1:3" x14ac:dyDescent="0.35">
      <c r="A272" s="23" t="s">
        <v>2941</v>
      </c>
      <c r="B272" s="42" t="str">
        <f>IFERROR(INDEX(Mots!$B:$B,MATCH($A272,Mots!$A:$A,0)),"introuvable")</f>
        <v>Dacia Duster</v>
      </c>
      <c r="C272" s="23" t="s">
        <v>8129</v>
      </c>
    </row>
    <row r="273" spans="1:3" x14ac:dyDescent="0.35">
      <c r="A273" s="23" t="s">
        <v>2944</v>
      </c>
      <c r="B273" s="42" t="str">
        <f>IFERROR(INDEX(Mots!$B:$B,MATCH($A273,Mots!$A:$A,0)),"introuvable")</f>
        <v>le pare-brise</v>
      </c>
      <c r="C273" s="23" t="s">
        <v>8130</v>
      </c>
    </row>
    <row r="274" spans="1:3" x14ac:dyDescent="0.35">
      <c r="A274" s="23" t="s">
        <v>2948</v>
      </c>
      <c r="B274" s="42" t="str">
        <f>IFERROR(INDEX(Mots!$B:$B,MATCH($A274,Mots!$A:$A,0)),"introuvable")</f>
        <v>les essuie glace</v>
      </c>
      <c r="C274" s="23" t="s">
        <v>8131</v>
      </c>
    </row>
    <row r="275" spans="1:3" x14ac:dyDescent="0.35">
      <c r="A275" s="23" t="s">
        <v>2951</v>
      </c>
      <c r="B275" s="42" t="str">
        <f>IFERROR(INDEX(Mots!$B:$B,MATCH($A275,Mots!$A:$A,0)),"introuvable")</f>
        <v>le capot</v>
      </c>
      <c r="C275" s="23" t="s">
        <v>8132</v>
      </c>
    </row>
    <row r="276" spans="1:3" x14ac:dyDescent="0.35">
      <c r="A276" s="23" t="s">
        <v>2954</v>
      </c>
      <c r="B276" s="42" t="str">
        <f>IFERROR(INDEX(Mots!$B:$B,MATCH($A276,Mots!$A:$A,0)),"introuvable")</f>
        <v>l'aile</v>
      </c>
      <c r="C276" s="23" t="s">
        <v>8133</v>
      </c>
    </row>
    <row r="277" spans="1:3" x14ac:dyDescent="0.35">
      <c r="A277" s="23" t="s">
        <v>2957</v>
      </c>
      <c r="B277" s="42" t="str">
        <f>IFERROR(INDEX(Mots!$B:$B,MATCH($A277,Mots!$A:$A,0)),"introuvable")</f>
        <v>le pare-chocs</v>
      </c>
      <c r="C277" s="23" t="s">
        <v>8134</v>
      </c>
    </row>
    <row r="278" spans="1:3" x14ac:dyDescent="0.35">
      <c r="A278" s="23" t="s">
        <v>9642</v>
      </c>
      <c r="B278" s="42" t="str">
        <f>IFERROR(INDEX(Mots!$B:$B,MATCH($A278,Mots!$A:$A,0)),"introuvable")</f>
        <v>la jante</v>
      </c>
      <c r="C278" s="23" t="s">
        <v>8135</v>
      </c>
    </row>
    <row r="279" spans="1:3" x14ac:dyDescent="0.35">
      <c r="A279" s="23" t="s">
        <v>9641</v>
      </c>
      <c r="B279" s="42" t="str">
        <f>IFERROR(INDEX(Mots!$B:$B,MATCH($A279,Mots!$A:$A,0)),"introuvable")</f>
        <v>le pneu</v>
      </c>
      <c r="C279" s="23" t="s">
        <v>8136</v>
      </c>
    </row>
    <row r="280" spans="1:3" x14ac:dyDescent="0.35">
      <c r="A280" s="23" t="s">
        <v>3001</v>
      </c>
      <c r="B280" s="42" t="str">
        <f>IFERROR(INDEX(Mots!$B:$B,MATCH($A280,Mots!$A:$A,0)),"introuvable")</f>
        <v>le siège</v>
      </c>
      <c r="C280" s="23" t="s">
        <v>8137</v>
      </c>
    </row>
    <row r="281" spans="1:3" x14ac:dyDescent="0.35">
      <c r="A281" s="23" t="s">
        <v>3004</v>
      </c>
      <c r="B281" s="42" t="str">
        <f>IFERROR(INDEX(Mots!$B:$B,MATCH($A281,Mots!$A:$A,0)),"introuvable")</f>
        <v>le volant</v>
      </c>
      <c r="C281" s="23" t="s">
        <v>8138</v>
      </c>
    </row>
    <row r="282" spans="1:3" x14ac:dyDescent="0.35">
      <c r="A282" s="23" t="s">
        <v>3013</v>
      </c>
      <c r="B282" s="42" t="str">
        <f>IFERROR(INDEX(Mots!$B:$B,MATCH($A282,Mots!$A:$A,0)),"introuvable")</f>
        <v>le tableau de bord</v>
      </c>
      <c r="C282" s="23" t="s">
        <v>8139</v>
      </c>
    </row>
    <row r="283" spans="1:3" x14ac:dyDescent="0.35">
      <c r="A283" s="23" t="s">
        <v>3017</v>
      </c>
      <c r="B283" s="42" t="str">
        <f>IFERROR(INDEX(Mots!$B:$B,MATCH($A283,Mots!$A:$A,0)),"introuvable")</f>
        <v>le coffre</v>
      </c>
      <c r="C283" s="23" t="s">
        <v>8140</v>
      </c>
    </row>
    <row r="284" spans="1:3" x14ac:dyDescent="0.35">
      <c r="A284" s="23" t="s">
        <v>3028</v>
      </c>
      <c r="B284" s="42" t="str">
        <f>IFERROR(INDEX(Mots!$B:$B,MATCH($A284,Mots!$A:$A,0)),"introuvable")</f>
        <v>mes enfants</v>
      </c>
      <c r="C284" s="23" t="s">
        <v>8141</v>
      </c>
    </row>
    <row r="285" spans="1:3" x14ac:dyDescent="0.35">
      <c r="A285" s="23" t="s">
        <v>3031</v>
      </c>
      <c r="B285" s="42" t="str">
        <f>IFERROR(INDEX(Mots!$B:$B,MATCH($A285,Mots!$A:$A,0)),"introuvable")</f>
        <v>Mathilde</v>
      </c>
      <c r="C285" s="23" t="s">
        <v>8142</v>
      </c>
    </row>
    <row r="286" spans="1:3" x14ac:dyDescent="0.35">
      <c r="A286" s="23" t="s">
        <v>3034</v>
      </c>
      <c r="B286" s="42" t="str">
        <f>IFERROR(INDEX(Mots!$B:$B,MATCH($A286,Mots!$A:$A,0)),"introuvable")</f>
        <v>Julien</v>
      </c>
      <c r="C286" s="23" t="s">
        <v>8143</v>
      </c>
    </row>
    <row r="287" spans="1:3" x14ac:dyDescent="0.35">
      <c r="A287" s="23" t="s">
        <v>3038</v>
      </c>
      <c r="B287" s="42" t="str">
        <f>IFERROR(INDEX(Mots!$B:$B,MATCH($A287,Mots!$A:$A,0)),"introuvable")</f>
        <v>Emma</v>
      </c>
      <c r="C287" s="23" t="s">
        <v>8144</v>
      </c>
    </row>
    <row r="288" spans="1:3" x14ac:dyDescent="0.35">
      <c r="A288" s="23" t="s">
        <v>3042</v>
      </c>
      <c r="B288" s="42" t="str">
        <f>IFERROR(INDEX(Mots!$B:$B,MATCH($A288,Mots!$A:$A,0)),"introuvable")</f>
        <v>Loïc</v>
      </c>
      <c r="C288" s="23" t="s">
        <v>8145</v>
      </c>
    </row>
    <row r="289" spans="1:3" x14ac:dyDescent="0.35">
      <c r="A289" s="23" t="s">
        <v>3144</v>
      </c>
      <c r="B289" s="42" t="str">
        <f>IFERROR(INDEX(Mots!$B:$B,MATCH($A289,Mots!$A:$A,0)),"introuvable")</f>
        <v>faire les vitres</v>
      </c>
      <c r="C289" s="23" t="s">
        <v>8146</v>
      </c>
    </row>
    <row r="290" spans="1:3" x14ac:dyDescent="0.35">
      <c r="A290" s="23" t="s">
        <v>3151</v>
      </c>
      <c r="B290" s="42" t="str">
        <f>IFERROR(INDEX(Mots!$B:$B,MATCH($A290,Mots!$A:$A,0)),"introuvable")</f>
        <v>l'aspirateur</v>
      </c>
      <c r="C290" s="23" t="s">
        <v>8147</v>
      </c>
    </row>
    <row r="291" spans="1:3" x14ac:dyDescent="0.35">
      <c r="A291" s="23" t="s">
        <v>3163</v>
      </c>
      <c r="B291" s="42" t="str">
        <f>IFERROR(INDEX(Mots!$B:$B,MATCH($A291,Mots!$A:$A,0)),"introuvable")</f>
        <v>le matériel pour récurrer</v>
      </c>
      <c r="C291" s="23" t="s">
        <v>8148</v>
      </c>
    </row>
    <row r="292" spans="1:3" x14ac:dyDescent="0.35">
      <c r="A292" s="23" t="s">
        <v>3168</v>
      </c>
      <c r="B292" s="42" t="str">
        <f>IFERROR(INDEX(Mots!$B:$B,MATCH($A292,Mots!$A:$A,0)),"introuvable")</f>
        <v>le meister proper</v>
      </c>
      <c r="C292" s="23" t="s">
        <v>8149</v>
      </c>
    </row>
    <row r="293" spans="1:3" x14ac:dyDescent="0.35">
      <c r="A293" s="23" t="s">
        <v>3176</v>
      </c>
      <c r="B293" s="42" t="str">
        <f>IFERROR(INDEX(Mots!$B:$B,MATCH($A293,Mots!$A:$A,0)),"introuvable")</f>
        <v>la chambre</v>
      </c>
      <c r="C293" s="23" t="s">
        <v>8150</v>
      </c>
    </row>
    <row r="294" spans="1:3" x14ac:dyDescent="0.35">
      <c r="A294" s="23" t="s">
        <v>3180</v>
      </c>
      <c r="B294" s="42" t="str">
        <f>IFERROR(INDEX(Mots!$B:$B,MATCH($A294,Mots!$A:$A,0)),"introuvable")</f>
        <v>le lit</v>
      </c>
      <c r="C294" s="23" t="s">
        <v>8151</v>
      </c>
    </row>
    <row r="295" spans="1:3" x14ac:dyDescent="0.35">
      <c r="A295" s="23" t="s">
        <v>3183</v>
      </c>
      <c r="B295" s="42" t="str">
        <f>IFERROR(INDEX(Mots!$B:$B,MATCH($A295,Mots!$A:$A,0)),"introuvable")</f>
        <v>le matelas</v>
      </c>
      <c r="C295" s="23" t="s">
        <v>8152</v>
      </c>
    </row>
    <row r="296" spans="1:3" x14ac:dyDescent="0.35">
      <c r="A296" s="23" t="s">
        <v>3188</v>
      </c>
      <c r="B296" s="42" t="str">
        <f>IFERROR(INDEX(Mots!$B:$B,MATCH($A296,Mots!$A:$A,0)),"introuvable")</f>
        <v>l'oreiller</v>
      </c>
      <c r="C296" s="23" t="s">
        <v>8153</v>
      </c>
    </row>
    <row r="297" spans="1:3" x14ac:dyDescent="0.35">
      <c r="A297" s="23" t="s">
        <v>3192</v>
      </c>
      <c r="B297" s="42" t="str">
        <f>IFERROR(INDEX(Mots!$B:$B,MATCH($A297,Mots!$A:$A,0)),"introuvable")</f>
        <v>le duvet</v>
      </c>
      <c r="C297" s="23" t="s">
        <v>8154</v>
      </c>
    </row>
    <row r="298" spans="1:3" x14ac:dyDescent="0.35">
      <c r="A298" s="23" t="s">
        <v>3195</v>
      </c>
      <c r="B298" s="42" t="str">
        <f>IFERROR(INDEX(Mots!$B:$B,MATCH($A298,Mots!$A:$A,0)),"introuvable")</f>
        <v>le réveil</v>
      </c>
      <c r="C298" s="23" t="s">
        <v>8155</v>
      </c>
    </row>
    <row r="299" spans="1:3" x14ac:dyDescent="0.35">
      <c r="A299" s="23" t="s">
        <v>3200</v>
      </c>
      <c r="B299" s="42" t="str">
        <f>IFERROR(INDEX(Mots!$B:$B,MATCH($A299,Mots!$A:$A,0)),"introuvable")</f>
        <v>l'armoire</v>
      </c>
      <c r="C299" s="23" t="s">
        <v>8156</v>
      </c>
    </row>
    <row r="300" spans="1:3" x14ac:dyDescent="0.35">
      <c r="A300" s="23" t="s">
        <v>3203</v>
      </c>
      <c r="B300" s="42" t="str">
        <f>IFERROR(INDEX(Mots!$B:$B,MATCH($A300,Mots!$A:$A,0)),"introuvable")</f>
        <v>la corbeille à linge</v>
      </c>
      <c r="C300" s="23" t="s">
        <v>8157</v>
      </c>
    </row>
    <row r="301" spans="1:3" x14ac:dyDescent="0.35">
      <c r="A301" s="23" t="s">
        <v>3206</v>
      </c>
      <c r="B301" s="42" t="str">
        <f>IFERROR(INDEX(Mots!$B:$B,MATCH($A301,Mots!$A:$A,0)),"introuvable")</f>
        <v>le panier à linge</v>
      </c>
      <c r="C301" s="23" t="s">
        <v>8158</v>
      </c>
    </row>
    <row r="302" spans="1:3" x14ac:dyDescent="0.35">
      <c r="A302" s="23" t="s">
        <v>3218</v>
      </c>
      <c r="B302" s="42" t="str">
        <f>IFERROR(INDEX(Mots!$B:$B,MATCH($A302,Mots!$A:$A,0)),"introuvable")</f>
        <v>le bureau</v>
      </c>
      <c r="C302" s="23" t="s">
        <v>8159</v>
      </c>
    </row>
    <row r="303" spans="1:3" x14ac:dyDescent="0.35">
      <c r="A303" s="23" t="s">
        <v>3221</v>
      </c>
      <c r="B303" s="42" t="str">
        <f>IFERROR(INDEX(Mots!$B:$B,MATCH($A303,Mots!$A:$A,0)),"introuvable")</f>
        <v>le classeur</v>
      </c>
      <c r="C303" s="23" t="s">
        <v>8160</v>
      </c>
    </row>
    <row r="304" spans="1:3" x14ac:dyDescent="0.35">
      <c r="A304" s="23" t="s">
        <v>3228</v>
      </c>
      <c r="B304" s="42" t="str">
        <f>IFERROR(INDEX(Mots!$B:$B,MATCH($A304,Mots!$A:$A,0)),"introuvable")</f>
        <v>l'ordinateur</v>
      </c>
      <c r="C304" s="23" t="s">
        <v>8161</v>
      </c>
    </row>
    <row r="305" spans="1:3" x14ac:dyDescent="0.35">
      <c r="A305" s="23" t="s">
        <v>3233</v>
      </c>
      <c r="B305" s="42" t="str">
        <f>IFERROR(INDEX(Mots!$B:$B,MATCH($A305,Mots!$A:$A,0)),"introuvable")</f>
        <v>l'essence</v>
      </c>
      <c r="C305" s="23" t="s">
        <v>8162</v>
      </c>
    </row>
    <row r="306" spans="1:3" x14ac:dyDescent="0.35">
      <c r="A306" s="23" t="s">
        <v>3237</v>
      </c>
      <c r="B306" s="42" t="str">
        <f>IFERROR(INDEX(Mots!$B:$B,MATCH($A306,Mots!$A:$A,0)),"introuvable")</f>
        <v>la jauge d'huile</v>
      </c>
      <c r="C306" s="23" t="s">
        <v>8163</v>
      </c>
    </row>
    <row r="307" spans="1:3" x14ac:dyDescent="0.35">
      <c r="A307" s="23" t="s">
        <v>3240</v>
      </c>
      <c r="B307" s="42" t="str">
        <f>IFERROR(INDEX(Mots!$B:$B,MATCH($A307,Mots!$A:$A,0)),"introuvable")</f>
        <v>l'huile moteur</v>
      </c>
      <c r="C307" s="23" t="s">
        <v>8164</v>
      </c>
    </row>
    <row r="308" spans="1:3" x14ac:dyDescent="0.35">
      <c r="A308" s="23" t="s">
        <v>3244</v>
      </c>
      <c r="B308" s="42" t="str">
        <f>IFERROR(INDEX(Mots!$B:$B,MATCH($A308,Mots!$A:$A,0)),"introuvable")</f>
        <v>le liquide lave-glace</v>
      </c>
      <c r="C308" s="23" t="s">
        <v>8165</v>
      </c>
    </row>
    <row r="309" spans="1:3" x14ac:dyDescent="0.35">
      <c r="A309" s="23" t="s">
        <v>3253</v>
      </c>
      <c r="B309" s="42" t="str">
        <f>IFERROR(INDEX(Mots!$B:$B,MATCH($A309,Mots!$A:$A,0)),"introuvable")</f>
        <v>la paire de slip</v>
      </c>
      <c r="C309" s="23" t="s">
        <v>8166</v>
      </c>
    </row>
    <row r="310" spans="1:3" x14ac:dyDescent="0.35">
      <c r="A310" s="23" t="s">
        <v>3257</v>
      </c>
      <c r="B310" s="42" t="str">
        <f>IFERROR(INDEX(Mots!$B:$B,MATCH($A310,Mots!$A:$A,0)),"introuvable")</f>
        <v>les bas</v>
      </c>
      <c r="C310" s="23" t="s">
        <v>8167</v>
      </c>
    </row>
    <row r="311" spans="1:3" x14ac:dyDescent="0.35">
      <c r="A311" s="23" t="s">
        <v>3262</v>
      </c>
      <c r="B311" s="42" t="str">
        <f>IFERROR(INDEX(Mots!$B:$B,MATCH($A311,Mots!$A:$A,0)),"introuvable")</f>
        <v>le pantalon</v>
      </c>
      <c r="C311" s="23" t="s">
        <v>8168</v>
      </c>
    </row>
    <row r="312" spans="1:3" x14ac:dyDescent="0.35">
      <c r="A312" s="23" t="s">
        <v>3267</v>
      </c>
      <c r="B312" s="42" t="str">
        <f>IFERROR(INDEX(Mots!$B:$B,MATCH($A312,Mots!$A:$A,0)),"introuvable")</f>
        <v>le jeans (pantalon)</v>
      </c>
      <c r="C312" s="23" t="s">
        <v>8169</v>
      </c>
    </row>
    <row r="313" spans="1:3" x14ac:dyDescent="0.35">
      <c r="A313" s="23" t="s">
        <v>3270</v>
      </c>
      <c r="B313" s="42" t="str">
        <f>IFERROR(INDEX(Mots!$B:$B,MATCH($A313,Mots!$A:$A,0)),"introuvable")</f>
        <v>les cuissettes</v>
      </c>
      <c r="C313" s="23" t="s">
        <v>8170</v>
      </c>
    </row>
    <row r="314" spans="1:3" x14ac:dyDescent="0.35">
      <c r="A314" s="23" t="s">
        <v>3279</v>
      </c>
      <c r="B314" s="42" t="str">
        <f>IFERROR(INDEX(Mots!$B:$B,MATCH($A314,Mots!$A:$A,0)),"introuvable")</f>
        <v>le juste-au-corps</v>
      </c>
      <c r="C314" s="23" t="s">
        <v>8171</v>
      </c>
    </row>
    <row r="315" spans="1:3" x14ac:dyDescent="0.35">
      <c r="A315" s="23" t="s">
        <v>3283</v>
      </c>
      <c r="B315" s="42" t="str">
        <f>IFERROR(INDEX(Mots!$B:$B,MATCH($A315,Mots!$A:$A,0)),"introuvable")</f>
        <v>le t-shirt</v>
      </c>
      <c r="C315" s="23" t="s">
        <v>8172</v>
      </c>
    </row>
    <row r="316" spans="1:3" x14ac:dyDescent="0.35">
      <c r="A316" s="23" t="s">
        <v>3287</v>
      </c>
      <c r="B316" s="42" t="str">
        <f>IFERROR(INDEX(Mots!$B:$B,MATCH($A316,Mots!$A:$A,0)),"introuvable")</f>
        <v>la chemise</v>
      </c>
      <c r="C316" s="23" t="s">
        <v>8173</v>
      </c>
    </row>
    <row r="317" spans="1:3" x14ac:dyDescent="0.35">
      <c r="A317" s="23" t="s">
        <v>3296</v>
      </c>
      <c r="B317" s="42" t="str">
        <f>IFERROR(INDEX(Mots!$B:$B,MATCH($A317,Mots!$A:$A,0)),"introuvable")</f>
        <v>le polo</v>
      </c>
      <c r="C317" s="23" t="s">
        <v>8174</v>
      </c>
    </row>
    <row r="318" spans="1:3" x14ac:dyDescent="0.35">
      <c r="A318" s="23" t="s">
        <v>9449</v>
      </c>
      <c r="B318" s="42" t="str">
        <f>IFERROR(INDEX(Mots!$B:$B,MATCH($A318,Mots!$A:$A,0)),"introuvable")</f>
        <v>le pull ou pullover</v>
      </c>
      <c r="C318" s="23" t="s">
        <v>8175</v>
      </c>
    </row>
    <row r="319" spans="1:3" x14ac:dyDescent="0.35">
      <c r="A319" s="23" t="s">
        <v>3304</v>
      </c>
      <c r="B319" s="42" t="str">
        <f>IFERROR(INDEX(Mots!$B:$B,MATCH($A319,Mots!$A:$A,0)),"introuvable")</f>
        <v>la veste</v>
      </c>
      <c r="C319" s="23" t="s">
        <v>8176</v>
      </c>
    </row>
    <row r="320" spans="1:3" x14ac:dyDescent="0.35">
      <c r="A320" s="23" t="s">
        <v>3308</v>
      </c>
      <c r="B320" s="42" t="str">
        <f>IFERROR(INDEX(Mots!$B:$B,MATCH($A320,Mots!$A:$A,0)),"introuvable")</f>
        <v>le pain</v>
      </c>
      <c r="C320" s="23" t="s">
        <v>8177</v>
      </c>
    </row>
    <row r="321" spans="1:3" x14ac:dyDescent="0.35">
      <c r="A321" s="23" t="s">
        <v>3312</v>
      </c>
      <c r="B321" s="42" t="str">
        <f>IFERROR(INDEX(Mots!$B:$B,MATCH($A321,Mots!$A:$A,0)),"introuvable")</f>
        <v>le gendarme</v>
      </c>
      <c r="C321" s="23" t="s">
        <v>8178</v>
      </c>
    </row>
    <row r="322" spans="1:3" x14ac:dyDescent="0.35">
      <c r="A322" s="23" t="s">
        <v>3317</v>
      </c>
      <c r="B322" s="42" t="str">
        <f>IFERROR(INDEX(Mots!$B:$B,MATCH($A322,Mots!$A:$A,0)),"introuvable")</f>
        <v>la saucisse</v>
      </c>
      <c r="C322" s="23" t="s">
        <v>8179</v>
      </c>
    </row>
    <row r="323" spans="1:3" x14ac:dyDescent="0.35">
      <c r="A323" s="23" t="s">
        <v>3321</v>
      </c>
      <c r="B323" s="42" t="str">
        <f>IFERROR(INDEX(Mots!$B:$B,MATCH($A323,Mots!$A:$A,0)),"introuvable")</f>
        <v>le café</v>
      </c>
      <c r="C323" s="23" t="s">
        <v>8180</v>
      </c>
    </row>
    <row r="324" spans="1:3" x14ac:dyDescent="0.35">
      <c r="A324" s="23" t="s">
        <v>3327</v>
      </c>
      <c r="B324" s="42" t="str">
        <f>IFERROR(INDEX(Mots!$B:$B,MATCH($A324,Mots!$A:$A,0)),"introuvable")</f>
        <v>le fromage</v>
      </c>
      <c r="C324" s="23" t="s">
        <v>8181</v>
      </c>
    </row>
    <row r="325" spans="1:3" x14ac:dyDescent="0.35">
      <c r="A325" s="23" t="s">
        <v>34</v>
      </c>
      <c r="B325" s="42" t="str">
        <f>IFERROR(INDEX(Mots!$B:$B,MATCH($A325,Mots!$A:$A,0)),"introuvable")</f>
        <v>la maison</v>
      </c>
      <c r="C325" s="23" t="s">
        <v>8182</v>
      </c>
    </row>
    <row r="326" spans="1:3" x14ac:dyDescent="0.35">
      <c r="A326" s="23" t="s">
        <v>3339</v>
      </c>
      <c r="B326" s="42" t="str">
        <f>IFERROR(INDEX(Mots!$B:$B,MATCH($A326,Mots!$A:$A,0)),"introuvable")</f>
        <v>le chalet</v>
      </c>
      <c r="C326" s="23" t="s">
        <v>8183</v>
      </c>
    </row>
    <row r="327" spans="1:3" x14ac:dyDescent="0.35">
      <c r="A327" s="23" t="s">
        <v>3342</v>
      </c>
      <c r="B327" s="42" t="str">
        <f>IFERROR(INDEX(Mots!$B:$B,MATCH($A327,Mots!$A:$A,0)),"introuvable")</f>
        <v>le garage</v>
      </c>
      <c r="C327" s="23" t="s">
        <v>8184</v>
      </c>
    </row>
    <row r="328" spans="1:3" x14ac:dyDescent="0.35">
      <c r="A328" s="23" t="s">
        <v>3345</v>
      </c>
      <c r="B328" s="42" t="str">
        <f>IFERROR(INDEX(Mots!$B:$B,MATCH($A328,Mots!$A:$A,0)),"introuvable")</f>
        <v>la porte</v>
      </c>
      <c r="C328" s="23" t="s">
        <v>8185</v>
      </c>
    </row>
    <row r="329" spans="1:3" x14ac:dyDescent="0.35">
      <c r="A329" s="23" t="s">
        <v>3349</v>
      </c>
      <c r="B329" s="42" t="str">
        <f>IFERROR(INDEX(Mots!$B:$B,MATCH($A329,Mots!$A:$A,0)),"introuvable")</f>
        <v>la fenêtre</v>
      </c>
      <c r="C329" s="23" t="s">
        <v>8186</v>
      </c>
    </row>
    <row r="330" spans="1:3" x14ac:dyDescent="0.35">
      <c r="A330" s="23" t="s">
        <v>3359</v>
      </c>
      <c r="B330" s="42" t="str">
        <f>IFERROR(INDEX(Mots!$B:$B,MATCH($A330,Mots!$A:$A,0)),"introuvable")</f>
        <v>l'escalier</v>
      </c>
      <c r="C330" s="23" t="s">
        <v>8187</v>
      </c>
    </row>
    <row r="331" spans="1:3" x14ac:dyDescent="0.35">
      <c r="A331" s="23" t="s">
        <v>3363</v>
      </c>
      <c r="B331" s="42" t="str">
        <f>IFERROR(INDEX(Mots!$B:$B,MATCH($A331,Mots!$A:$A,0)),"introuvable")</f>
        <v>l'ampoule</v>
      </c>
      <c r="C331" s="23" t="s">
        <v>8188</v>
      </c>
    </row>
    <row r="332" spans="1:3" x14ac:dyDescent="0.35">
      <c r="A332" s="23" t="s">
        <v>9542</v>
      </c>
      <c r="B332" s="42" t="str">
        <f>IFERROR(INDEX(Mots!$B:$B,MATCH($A332,Mots!$A:$A,0)),"introuvable")</f>
        <v>l'interrupteur</v>
      </c>
      <c r="C332" s="23" t="s">
        <v>8189</v>
      </c>
    </row>
    <row r="333" spans="1:3" x14ac:dyDescent="0.35">
      <c r="A333" s="23" t="s">
        <v>3366</v>
      </c>
      <c r="B333" s="42" t="str">
        <f>IFERROR(INDEX(Mots!$B:$B,MATCH($A333,Mots!$A:$A,0)),"introuvable")</f>
        <v>les fusibles pour l'électricité</v>
      </c>
      <c r="C333" s="23" t="s">
        <v>8190</v>
      </c>
    </row>
    <row r="334" spans="1:3" x14ac:dyDescent="0.35">
      <c r="A334" s="23" t="s">
        <v>3369</v>
      </c>
      <c r="B334" s="42" t="str">
        <f>IFERROR(INDEX(Mots!$B:$B,MATCH($A334,Mots!$A:$A,0)),"introuvable")</f>
        <v>le mur</v>
      </c>
      <c r="C334" s="23" t="s">
        <v>8191</v>
      </c>
    </row>
    <row r="335" spans="1:3" x14ac:dyDescent="0.35">
      <c r="A335" s="23" t="s">
        <v>3373</v>
      </c>
      <c r="B335" s="42" t="str">
        <f>IFERROR(INDEX(Mots!$B:$B,MATCH($A335,Mots!$A:$A,0)),"introuvable")</f>
        <v>le toit</v>
      </c>
      <c r="C335" s="23" t="s">
        <v>8192</v>
      </c>
    </row>
    <row r="336" spans="1:3" x14ac:dyDescent="0.35">
      <c r="A336" s="23" t="s">
        <v>3378</v>
      </c>
      <c r="B336" s="42" t="str">
        <f>IFERROR(INDEX(Mots!$B:$B,MATCH($A336,Mots!$A:$A,0)),"introuvable")</f>
        <v>le chéneau</v>
      </c>
      <c r="C336" s="23" t="s">
        <v>8193</v>
      </c>
    </row>
    <row r="337" spans="1:4" x14ac:dyDescent="0.35">
      <c r="A337" s="23" t="s">
        <v>3504</v>
      </c>
      <c r="B337" s="42" t="str">
        <f>IFERROR(INDEX(Mots!$B:$B,MATCH($A337,Mots!$A:$A,0)),"introuvable")</f>
        <v>attendre</v>
      </c>
      <c r="C337" s="23" t="s">
        <v>8194</v>
      </c>
    </row>
    <row r="338" spans="1:4" x14ac:dyDescent="0.35">
      <c r="A338" s="23" t="s">
        <v>3511</v>
      </c>
      <c r="B338" s="42" t="str">
        <f>IFERROR(INDEX(Mots!$B:$B,MATCH($A338,Mots!$A:$A,0)),"introuvable")</f>
        <v>aussi</v>
      </c>
      <c r="C338" s="23" t="s">
        <v>8195</v>
      </c>
    </row>
    <row r="339" spans="1:4" x14ac:dyDescent="0.35">
      <c r="A339" s="23" t="s">
        <v>3582</v>
      </c>
      <c r="B339" s="42" t="str">
        <f>IFERROR(INDEX(Mots!$B:$B,MATCH($A339,Mots!$A:$A,0)),"introuvable")</f>
        <v>changer</v>
      </c>
      <c r="C339" s="23" t="s">
        <v>8196</v>
      </c>
    </row>
    <row r="340" spans="1:4" x14ac:dyDescent="0.35">
      <c r="A340" s="23" t="s">
        <v>3603</v>
      </c>
      <c r="B340" s="42" t="str">
        <f>IFERROR(INDEX(Mots!$B:$B,MATCH($A340,Mots!$A:$A,0)),"introuvable")</f>
        <v>choisir</v>
      </c>
      <c r="C340" s="23" t="s">
        <v>8197</v>
      </c>
    </row>
    <row r="341" spans="1:4" x14ac:dyDescent="0.35">
      <c r="A341" s="23" t="s">
        <v>3614</v>
      </c>
      <c r="B341" s="42" t="str">
        <f>IFERROR(INDEX(Mots!$B:$B,MATCH($A341,Mots!$A:$A,0)),"introuvable")</f>
        <v>chuchoter</v>
      </c>
      <c r="C341" s="23" t="s">
        <v>8198</v>
      </c>
    </row>
    <row r="342" spans="1:4" x14ac:dyDescent="0.35">
      <c r="A342" s="23" t="s">
        <v>3634</v>
      </c>
      <c r="B342" s="42" t="str">
        <f>IFERROR(INDEX(Mots!$B:$B,MATCH($A342,Mots!$A:$A,0)),"introuvable")</f>
        <v>commencer</v>
      </c>
      <c r="C342" s="23" t="s">
        <v>8199</v>
      </c>
    </row>
    <row r="343" spans="1:4" x14ac:dyDescent="0.35">
      <c r="A343" s="23" t="s">
        <v>3641</v>
      </c>
      <c r="B343" s="42" t="str">
        <f>IFERROR(INDEX(Mots!$B:$B,MATCH($A343,Mots!$A:$A,0)),"introuvable")</f>
        <v>comparer</v>
      </c>
      <c r="C343" s="23" t="s">
        <v>8200</v>
      </c>
    </row>
    <row r="344" spans="1:4" x14ac:dyDescent="0.35">
      <c r="A344" s="23" t="s">
        <v>3692</v>
      </c>
      <c r="B344" s="42" t="str">
        <f>IFERROR(INDEX(Mots!$B:$B,MATCH($A344,Mots!$A:$A,0)),"introuvable")</f>
        <v>coupant</v>
      </c>
      <c r="C344" s="23" t="s">
        <v>8201</v>
      </c>
    </row>
    <row r="345" spans="1:4" x14ac:dyDescent="0.35">
      <c r="A345" s="23" t="s">
        <v>3881</v>
      </c>
      <c r="B345" s="42" t="str">
        <f>IFERROR(INDEX(Mots!$B:$B,MATCH($A345,Mots!$A:$A,0)),"introuvable")</f>
        <v>élevé</v>
      </c>
      <c r="C345" s="23" t="s">
        <v>8202</v>
      </c>
      <c r="D345" s="23" t="s">
        <v>8203</v>
      </c>
    </row>
    <row r="346" spans="1:4" x14ac:dyDescent="0.35">
      <c r="A346" s="23" t="s">
        <v>3966</v>
      </c>
      <c r="B346" s="42" t="str">
        <f>IFERROR(INDEX(Mots!$B:$B,MATCH($A346,Mots!$A:$A,0)),"introuvable")</f>
        <v>fermer</v>
      </c>
      <c r="C346" s="23" t="s">
        <v>8204</v>
      </c>
    </row>
    <row r="347" spans="1:4" x14ac:dyDescent="0.35">
      <c r="A347" s="23" t="s">
        <v>415</v>
      </c>
      <c r="B347" s="42" t="str">
        <f>IFERROR(INDEX(Mots!$B:$B,MATCH($A347,Mots!$A:$A,0)),"introuvable")</f>
        <v>la chose</v>
      </c>
      <c r="C347" s="23" t="s">
        <v>8205</v>
      </c>
    </row>
    <row r="348" spans="1:4" x14ac:dyDescent="0.35">
      <c r="A348" s="23" t="s">
        <v>4258</v>
      </c>
      <c r="B348" s="42" t="str">
        <f>IFERROR(INDEX(Mots!$B:$B,MATCH($A348,Mots!$A:$A,0)),"introuvable")</f>
        <v>la collection</v>
      </c>
      <c r="C348" s="23" t="s">
        <v>8206</v>
      </c>
    </row>
    <row r="349" spans="1:4" x14ac:dyDescent="0.35">
      <c r="A349" s="23" t="s">
        <v>4373</v>
      </c>
      <c r="B349" s="42" t="str">
        <f>IFERROR(INDEX(Mots!$B:$B,MATCH($A349,Mots!$A:$A,0)),"introuvable")</f>
        <v>la face</v>
      </c>
      <c r="C349" s="23" t="s">
        <v>8207</v>
      </c>
      <c r="D349" s="23" t="s">
        <v>8208</v>
      </c>
    </row>
    <row r="350" spans="1:4" x14ac:dyDescent="0.35">
      <c r="A350" s="23" t="s">
        <v>4420</v>
      </c>
      <c r="B350" s="42" t="str">
        <f>IFERROR(INDEX(Mots!$B:$B,MATCH($A350,Mots!$A:$A,0)),"introuvable")</f>
        <v>la fin</v>
      </c>
      <c r="C350" s="23" t="s">
        <v>8209</v>
      </c>
      <c r="D350" s="23" t="s">
        <v>8210</v>
      </c>
    </row>
    <row r="351" spans="1:4" x14ac:dyDescent="0.35">
      <c r="A351" s="23" t="s">
        <v>4600</v>
      </c>
      <c r="B351" s="42" t="str">
        <f>IFERROR(INDEX(Mots!$B:$B,MATCH($A351,Mots!$A:$A,0)),"introuvable")</f>
        <v>la lumière</v>
      </c>
      <c r="C351" s="23" t="s">
        <v>8211</v>
      </c>
    </row>
    <row r="352" spans="1:4" x14ac:dyDescent="0.35">
      <c r="A352" s="23" t="s">
        <v>4649</v>
      </c>
      <c r="B352" s="42" t="str">
        <f>IFERROR(INDEX(Mots!$B:$B,MATCH($A352,Mots!$A:$A,0)),"introuvable")</f>
        <v>la méfiance</v>
      </c>
      <c r="C352" s="23" t="s">
        <v>8212</v>
      </c>
    </row>
    <row r="353" spans="1:4" x14ac:dyDescent="0.35">
      <c r="A353" s="23" t="s">
        <v>4727</v>
      </c>
      <c r="B353" s="42" t="str">
        <f>IFERROR(INDEX(Mots!$B:$B,MATCH($A353,Mots!$A:$A,0)),"introuvable")</f>
        <v>la paroi</v>
      </c>
      <c r="C353" s="23" t="s">
        <v>8213</v>
      </c>
      <c r="D353" s="23" t="s">
        <v>8214</v>
      </c>
    </row>
    <row r="354" spans="1:4" x14ac:dyDescent="0.35">
      <c r="A354" s="23" t="s">
        <v>5105</v>
      </c>
      <c r="B354" s="42" t="str">
        <f>IFERROR(INDEX(Mots!$B:$B,MATCH($A354,Mots!$A:$A,0)),"introuvable")</f>
        <v>la sucrerie</v>
      </c>
      <c r="C354" s="23" t="s">
        <v>8215</v>
      </c>
    </row>
    <row r="355" spans="1:4" x14ac:dyDescent="0.35">
      <c r="A355" s="23" t="s">
        <v>5177</v>
      </c>
      <c r="B355" s="42" t="str">
        <f>IFERROR(INDEX(Mots!$B:$B,MATCH($A355,Mots!$A:$A,0)),"introuvable")</f>
        <v>la vérité</v>
      </c>
      <c r="C355" s="23" t="s">
        <v>8216</v>
      </c>
    </row>
    <row r="356" spans="1:4" x14ac:dyDescent="0.35">
      <c r="A356" s="23" t="s">
        <v>5190</v>
      </c>
      <c r="B356" s="42" t="str">
        <f>IFERROR(INDEX(Mots!$B:$B,MATCH($A356,Mots!$A:$A,0)),"introuvable")</f>
        <v>la vigne</v>
      </c>
      <c r="C356" s="23" t="s">
        <v>8217</v>
      </c>
    </row>
    <row r="357" spans="1:4" x14ac:dyDescent="0.35">
      <c r="A357" s="23" t="s">
        <v>5282</v>
      </c>
      <c r="B357" s="42" t="str">
        <f>IFERROR(INDEX(Mots!$B:$B,MATCH($A357,Mots!$A:$A,0)),"introuvable")</f>
        <v>l'anse</v>
      </c>
      <c r="C357" s="23" t="s">
        <v>8213</v>
      </c>
      <c r="D357" s="23" t="s">
        <v>8218</v>
      </c>
    </row>
    <row r="358" spans="1:4" x14ac:dyDescent="0.35">
      <c r="A358" s="23" t="s">
        <v>5288</v>
      </c>
      <c r="B358" s="42" t="str">
        <f>IFERROR(INDEX(Mots!$B:$B,MATCH($A358,Mots!$A:$A,0)),"introuvable")</f>
        <v>l'appareil</v>
      </c>
      <c r="C358" s="23" t="s">
        <v>8219</v>
      </c>
    </row>
    <row r="359" spans="1:4" x14ac:dyDescent="0.35">
      <c r="A359" s="23" t="s">
        <v>5338</v>
      </c>
      <c r="B359" s="42" t="str">
        <f>IFERROR(INDEX(Mots!$B:$B,MATCH($A359,Mots!$A:$A,0)),"introuvable")</f>
        <v>l'avis</v>
      </c>
      <c r="C359" s="23" t="s">
        <v>8220</v>
      </c>
    </row>
    <row r="360" spans="1:4" x14ac:dyDescent="0.35">
      <c r="A360" s="23" t="s">
        <v>5705</v>
      </c>
      <c r="B360" s="42" t="str">
        <f>IFERROR(INDEX(Mots!$B:$B,MATCH($A360,Mots!$A:$A,0)),"introuvable")</f>
        <v>le couvercle</v>
      </c>
      <c r="C360" s="23" t="s">
        <v>8221</v>
      </c>
      <c r="D360" s="23" t="s">
        <v>8222</v>
      </c>
    </row>
    <row r="361" spans="1:4" x14ac:dyDescent="0.35">
      <c r="A361" s="23" t="s">
        <v>5772</v>
      </c>
      <c r="B361" s="42" t="str">
        <f>IFERROR(INDEX(Mots!$B:$B,MATCH($A361,Mots!$A:$A,0)),"introuvable")</f>
        <v>le dessert</v>
      </c>
      <c r="C361" s="23" t="s">
        <v>8223</v>
      </c>
      <c r="D361" s="23" t="s">
        <v>8224</v>
      </c>
    </row>
    <row r="362" spans="1:4" x14ac:dyDescent="0.35">
      <c r="A362" s="23" t="s">
        <v>5787</v>
      </c>
      <c r="B362" s="42" t="str">
        <f>IFERROR(INDEX(Mots!$B:$B,MATCH($A362,Mots!$A:$A,0)),"introuvable")</f>
        <v>le disque</v>
      </c>
      <c r="C362" s="23" t="s">
        <v>8225</v>
      </c>
    </row>
    <row r="363" spans="1:4" x14ac:dyDescent="0.35">
      <c r="A363" s="23" t="s">
        <v>5920</v>
      </c>
      <c r="B363" s="42" t="str">
        <f>IFERROR(INDEX(Mots!$B:$B,MATCH($A363,Mots!$A:$A,0)),"introuvable")</f>
        <v>le logement</v>
      </c>
      <c r="C363" s="23" t="s">
        <v>8226</v>
      </c>
      <c r="D363" s="23" t="s">
        <v>8227</v>
      </c>
    </row>
    <row r="364" spans="1:4" x14ac:dyDescent="0.35">
      <c r="A364" s="23" t="s">
        <v>5963</v>
      </c>
      <c r="B364" s="42" t="str">
        <f>IFERROR(INDEX(Mots!$B:$B,MATCH($A364,Mots!$A:$A,0)),"introuvable")</f>
        <v>le mensonge</v>
      </c>
      <c r="C364" s="23" t="s">
        <v>8228</v>
      </c>
    </row>
    <row r="365" spans="1:4" x14ac:dyDescent="0.35">
      <c r="A365" s="23" t="s">
        <v>6043</v>
      </c>
      <c r="B365" s="42" t="str">
        <f>IFERROR(INDEX(Mots!$B:$B,MATCH($A365,Mots!$A:$A,0)),"introuvable")</f>
        <v>le numéro</v>
      </c>
      <c r="C365" s="23" t="s">
        <v>8229</v>
      </c>
      <c r="D365" s="23" t="s">
        <v>8230</v>
      </c>
    </row>
    <row r="366" spans="1:4" x14ac:dyDescent="0.35">
      <c r="A366" s="23" t="s">
        <v>6091</v>
      </c>
      <c r="B366" s="42" t="str">
        <f>IFERROR(INDEX(Mots!$B:$B,MATCH($A366,Mots!$A:$A,0)),"introuvable")</f>
        <v>partager</v>
      </c>
      <c r="C366" s="23" t="s">
        <v>8231</v>
      </c>
    </row>
    <row r="367" spans="1:4" x14ac:dyDescent="0.35">
      <c r="A367" s="23" t="s">
        <v>6096</v>
      </c>
      <c r="B367" s="42" t="str">
        <f>IFERROR(INDEX(Mots!$B:$B,MATCH($A367,Mots!$A:$A,0)),"introuvable")</f>
        <v>le passage</v>
      </c>
      <c r="C367" s="23" t="s">
        <v>8232</v>
      </c>
      <c r="D367" s="23" t="s">
        <v>8233</v>
      </c>
    </row>
    <row r="368" spans="1:4" x14ac:dyDescent="0.35">
      <c r="A368" s="23" t="s">
        <v>6338</v>
      </c>
      <c r="B368" s="42" t="str">
        <f>IFERROR(INDEX(Mots!$B:$B,MATCH($A368,Mots!$A:$A,0)),"introuvable")</f>
        <v>le secteur</v>
      </c>
      <c r="C368" s="23" t="s">
        <v>8234</v>
      </c>
    </row>
    <row r="369" spans="1:8" x14ac:dyDescent="0.35">
      <c r="A369" s="23" t="s">
        <v>6527</v>
      </c>
      <c r="B369" s="42" t="str">
        <f>IFERROR(INDEX(Mots!$B:$B,MATCH($A369,Mots!$A:$A,0)),"introuvable")</f>
        <v>le tube</v>
      </c>
      <c r="C369" s="23" t="s">
        <v>8235</v>
      </c>
      <c r="D369" s="23" t="s">
        <v>8236</v>
      </c>
    </row>
    <row r="370" spans="1:8" x14ac:dyDescent="0.35">
      <c r="A370" s="23" t="s">
        <v>6767</v>
      </c>
      <c r="B370" s="42" t="str">
        <f>IFERROR(INDEX(Mots!$B:$B,MATCH($A370,Mots!$A:$A,0)),"introuvable")</f>
        <v>l'exemple</v>
      </c>
      <c r="C370" s="23" t="s">
        <v>8237</v>
      </c>
    </row>
    <row r="371" spans="1:8" x14ac:dyDescent="0.35">
      <c r="A371" s="23" t="s">
        <v>6789</v>
      </c>
      <c r="B371" s="42" t="str">
        <f>IFERROR(INDEX(Mots!$B:$B,MATCH($A371,Mots!$A:$A,0)),"introuvable")</f>
        <v>l'image</v>
      </c>
      <c r="C371" s="23" t="s">
        <v>8238</v>
      </c>
    </row>
    <row r="372" spans="1:8" x14ac:dyDescent="0.35">
      <c r="A372" s="23" t="s">
        <v>6824</v>
      </c>
      <c r="B372" s="42" t="str">
        <f>IFERROR(INDEX(Mots!$B:$B,MATCH($A372,Mots!$A:$A,0)),"introuvable")</f>
        <v>lire</v>
      </c>
      <c r="C372" s="23" t="s">
        <v>8239</v>
      </c>
    </row>
    <row r="373" spans="1:8" x14ac:dyDescent="0.35">
      <c r="A373" s="23" t="s">
        <v>6831</v>
      </c>
      <c r="B373" s="42" t="str">
        <f>IFERROR(INDEX(Mots!$B:$B,MATCH($A373,Mots!$A:$A,0)),"introuvable")</f>
        <v>l'objet</v>
      </c>
      <c r="C373" s="23" t="s">
        <v>8240</v>
      </c>
      <c r="D373" s="23" t="s">
        <v>8241</v>
      </c>
      <c r="E373" s="23" t="s">
        <v>8242</v>
      </c>
      <c r="F373" s="23" t="s">
        <v>8243</v>
      </c>
      <c r="G373" s="23" t="s">
        <v>8244</v>
      </c>
      <c r="H373" s="23" t="s">
        <v>8245</v>
      </c>
    </row>
    <row r="374" spans="1:8" x14ac:dyDescent="0.35">
      <c r="A374" s="23" t="s">
        <v>6865</v>
      </c>
      <c r="B374" s="42" t="str">
        <f>IFERROR(INDEX(Mots!$B:$B,MATCH($A374,Mots!$A:$A,0)),"introuvable")</f>
        <v>l'ombre</v>
      </c>
      <c r="C374" s="23" t="s">
        <v>8246</v>
      </c>
      <c r="D374" s="23" t="s">
        <v>8247</v>
      </c>
    </row>
    <row r="375" spans="1:8" x14ac:dyDescent="0.35">
      <c r="A375" s="23" t="s">
        <v>6939</v>
      </c>
      <c r="B375" s="42" t="str">
        <f>IFERROR(INDEX(Mots!$B:$B,MATCH($A375,Mots!$A:$A,0)),"introuvable")</f>
        <v>monter</v>
      </c>
      <c r="C375" s="23" t="s">
        <v>8248</v>
      </c>
    </row>
    <row r="376" spans="1:8" x14ac:dyDescent="0.35">
      <c r="A376" s="23" t="s">
        <v>7064</v>
      </c>
      <c r="B376" s="42" t="str">
        <f>IFERROR(INDEX(Mots!$B:$B,MATCH($A376,Mots!$A:$A,0)),"introuvable")</f>
        <v>poser</v>
      </c>
      <c r="C376" s="23" t="s">
        <v>8249</v>
      </c>
      <c r="D376" s="23" t="s">
        <v>8250</v>
      </c>
      <c r="E376" s="23" t="s">
        <v>8251</v>
      </c>
      <c r="F376" s="23" t="s">
        <v>8252</v>
      </c>
    </row>
    <row r="377" spans="1:8" x14ac:dyDescent="0.35">
      <c r="A377" s="23" t="s">
        <v>7100</v>
      </c>
      <c r="B377" s="42" t="str">
        <f>IFERROR(INDEX(Mots!$B:$B,MATCH($A377,Mots!$A:$A,0)),"introuvable")</f>
        <v>prendre</v>
      </c>
      <c r="C377" s="23" t="s">
        <v>8253</v>
      </c>
      <c r="D377" s="23" t="s">
        <v>8254</v>
      </c>
      <c r="E377" s="23" t="s">
        <v>8255</v>
      </c>
    </row>
    <row r="378" spans="1:8" x14ac:dyDescent="0.35">
      <c r="A378" s="23" t="s">
        <v>7146</v>
      </c>
      <c r="B378" s="42" t="str">
        <f>IFERROR(INDEX(Mots!$B:$B,MATCH($A378,Mots!$A:$A,0)),"introuvable")</f>
        <v>ranger</v>
      </c>
      <c r="C378" s="23" t="s">
        <v>8256</v>
      </c>
      <c r="D378" s="23" t="s">
        <v>8257</v>
      </c>
    </row>
    <row r="379" spans="1:8" x14ac:dyDescent="0.35">
      <c r="A379" s="23" t="s">
        <v>7198</v>
      </c>
      <c r="B379" s="42" t="str">
        <f>IFERROR(INDEX(Mots!$B:$B,MATCH($A379,Mots!$A:$A,0)),"introuvable")</f>
        <v>réparer</v>
      </c>
      <c r="C379" s="23" t="s">
        <v>8258</v>
      </c>
    </row>
    <row r="380" spans="1:8" x14ac:dyDescent="0.35">
      <c r="A380" s="23" t="s">
        <v>7294</v>
      </c>
      <c r="B380" s="42" t="str">
        <f>IFERROR(INDEX(Mots!$B:$B,MATCH($A380,Mots!$A:$A,0)),"introuvable")</f>
        <v>serrer</v>
      </c>
      <c r="C380" s="23" t="s">
        <v>8259</v>
      </c>
    </row>
    <row r="381" spans="1:8" x14ac:dyDescent="0.35">
      <c r="A381" s="23" t="s">
        <v>7418</v>
      </c>
      <c r="B381" s="42" t="str">
        <f>IFERROR(INDEX(Mots!$B:$B,MATCH($A381,Mots!$A:$A,0)),"introuvable")</f>
        <v>vitré</v>
      </c>
      <c r="C381" s="23" t="s">
        <v>8260</v>
      </c>
      <c r="D381" s="23" t="s">
        <v>8261</v>
      </c>
    </row>
    <row r="382" spans="1:8" x14ac:dyDescent="0.35">
      <c r="A382" s="23" t="s">
        <v>7449</v>
      </c>
      <c r="B382" s="42" t="str">
        <f>IFERROR(INDEX(Mots!$B:$B,MATCH($A382,Mots!$A:$A,0)),"introuvable")</f>
        <v>le yogurt</v>
      </c>
      <c r="C382" s="23" t="s">
        <v>8262</v>
      </c>
    </row>
    <row r="383" spans="1:8" x14ac:dyDescent="0.35">
      <c r="A383" s="23" t="s">
        <v>7469</v>
      </c>
      <c r="B383" s="42" t="str">
        <f>IFERROR(INDEX(Mots!$B:$B,MATCH($A383,Mots!$A:$A,0)),"introuvable")</f>
        <v>le big mac chez Mc Donald</v>
      </c>
      <c r="C383" s="23" t="s">
        <v>8263</v>
      </c>
    </row>
    <row r="384" spans="1:8" x14ac:dyDescent="0.35">
      <c r="A384" s="23" t="s">
        <v>7489</v>
      </c>
      <c r="B384" s="42" t="str">
        <f>IFERROR(INDEX(Mots!$B:$B,MATCH($A384,Mots!$A:$A,0)),"introuvable")</f>
        <v>la gamme</v>
      </c>
      <c r="C384" s="23" t="s">
        <v>8264</v>
      </c>
    </row>
    <row r="385" spans="1:9" x14ac:dyDescent="0.35">
      <c r="A385" s="23" t="s">
        <v>7493</v>
      </c>
      <c r="B385" s="42" t="str">
        <f>IFERROR(INDEX(Mots!$B:$B,MATCH($A385,Mots!$A:$A,0)),"introuvable")</f>
        <v>le métronome</v>
      </c>
      <c r="C385" s="23" t="s">
        <v>8265</v>
      </c>
    </row>
    <row r="386" spans="1:9" x14ac:dyDescent="0.35">
      <c r="A386" s="23" t="s">
        <v>7505</v>
      </c>
      <c r="B386" s="42" t="str">
        <f>IFERROR(INDEX(Mots!$B:$B,MATCH($A386,Mots!$A:$A,0)),"introuvable")</f>
        <v>l'appareil photo</v>
      </c>
      <c r="C386" s="23" t="s">
        <v>8266</v>
      </c>
    </row>
    <row r="387" spans="1:9" x14ac:dyDescent="0.35">
      <c r="A387" s="23" t="s">
        <v>7515</v>
      </c>
      <c r="B387" s="42" t="str">
        <f>IFERROR(INDEX(Mots!$B:$B,MATCH($A387,Mots!$A:$A,0)),"introuvable")</f>
        <v>le moustique</v>
      </c>
      <c r="C387" s="23" t="s">
        <v>8267</v>
      </c>
    </row>
    <row r="388" spans="1:9" x14ac:dyDescent="0.35">
      <c r="A388" s="23" t="s">
        <v>7564</v>
      </c>
      <c r="B388" s="42" t="str">
        <f>IFERROR(INDEX(Mots!$B:$B,MATCH($A388,Mots!$A:$A,0)),"introuvable")</f>
        <v>quitter</v>
      </c>
      <c r="C388" s="23" t="s">
        <v>8268</v>
      </c>
    </row>
    <row r="389" spans="1:9" x14ac:dyDescent="0.35">
      <c r="A389" s="23" t="s">
        <v>7569</v>
      </c>
      <c r="B389" s="42" t="str">
        <f>IFERROR(INDEX(Mots!$B:$B,MATCH($A389,Mots!$A:$A,0)),"introuvable")</f>
        <v>interdire</v>
      </c>
      <c r="C389" s="23" t="s">
        <v>8269</v>
      </c>
    </row>
    <row r="390" spans="1:9" x14ac:dyDescent="0.35">
      <c r="A390" s="23" t="s">
        <v>7573</v>
      </c>
      <c r="B390" s="42" t="str">
        <f>IFERROR(INDEX(Mots!$B:$B,MATCH($A390,Mots!$A:$A,0)),"introuvable")</f>
        <v>arriver</v>
      </c>
      <c r="C390" s="23" t="s">
        <v>8270</v>
      </c>
    </row>
    <row r="391" spans="1:9" x14ac:dyDescent="0.35">
      <c r="A391" s="23" t="s">
        <v>1017</v>
      </c>
      <c r="B391" s="42" t="str">
        <f>IFERROR(INDEX(Mots!$B:$B,MATCH($A391,Mots!$A:$A,0)),"introuvable")</f>
        <v>la poitrine</v>
      </c>
      <c r="C391" s="23" t="s">
        <v>8271</v>
      </c>
      <c r="I391" s="23" t="s">
        <v>8272</v>
      </c>
    </row>
    <row r="392" spans="1:9" x14ac:dyDescent="0.35">
      <c r="A392" s="23" t="s">
        <v>1021</v>
      </c>
      <c r="B392" s="42" t="str">
        <f>IFERROR(INDEX(Mots!$B:$B,MATCH($A392,Mots!$A:$A,0)),"introuvable")</f>
        <v>le torse</v>
      </c>
      <c r="C392" s="23" t="s">
        <v>8273</v>
      </c>
      <c r="I392" s="23" t="s">
        <v>8274</v>
      </c>
    </row>
    <row r="393" spans="1:9" x14ac:dyDescent="0.35">
      <c r="A393" s="23" t="s">
        <v>1025</v>
      </c>
      <c r="B393" s="42" t="str">
        <f>IFERROR(INDEX(Mots!$B:$B,MATCH($A393,Mots!$A:$A,0)),"introuvable")</f>
        <v>l'épaule</v>
      </c>
      <c r="C393" s="23" t="s">
        <v>8275</v>
      </c>
      <c r="I393" s="23" t="s">
        <v>8276</v>
      </c>
    </row>
    <row r="394" spans="1:9" x14ac:dyDescent="0.35">
      <c r="A394" s="23" t="s">
        <v>1065</v>
      </c>
      <c r="B394" s="42" t="str">
        <f>IFERROR(INDEX(Mots!$B:$B,MATCH($A394,Mots!$A:$A,0)),"introuvable")</f>
        <v>la joue</v>
      </c>
      <c r="C394" s="23" t="s">
        <v>8277</v>
      </c>
      <c r="I394" s="23" t="s">
        <v>8278</v>
      </c>
    </row>
    <row r="395" spans="1:9" x14ac:dyDescent="0.35">
      <c r="A395" s="23" t="s">
        <v>1069</v>
      </c>
      <c r="B395" s="42" t="str">
        <f>IFERROR(INDEX(Mots!$B:$B,MATCH($A395,Mots!$A:$A,0)),"introuvable")</f>
        <v>la langue</v>
      </c>
      <c r="C395" s="23" t="s">
        <v>8279</v>
      </c>
      <c r="I395" s="23" t="s">
        <v>8280</v>
      </c>
    </row>
    <row r="396" spans="1:9" x14ac:dyDescent="0.35">
      <c r="A396" s="23" t="s">
        <v>1073</v>
      </c>
      <c r="B396" s="42" t="str">
        <f>IFERROR(INDEX(Mots!$B:$B,MATCH($A396,Mots!$A:$A,0)),"introuvable")</f>
        <v>la lèvre</v>
      </c>
      <c r="C396" s="23" t="s">
        <v>8281</v>
      </c>
    </row>
    <row r="397" spans="1:9" x14ac:dyDescent="0.35">
      <c r="A397" s="23" t="s">
        <v>1077</v>
      </c>
      <c r="B397" s="42" t="str">
        <f>IFERROR(INDEX(Mots!$B:$B,MATCH($A397,Mots!$A:$A,0)),"introuvable")</f>
        <v>le cou</v>
      </c>
      <c r="C397" s="23" t="s">
        <v>8282</v>
      </c>
      <c r="I397" s="23" t="s">
        <v>8283</v>
      </c>
    </row>
    <row r="398" spans="1:9" x14ac:dyDescent="0.35">
      <c r="A398" s="23" t="s">
        <v>1081</v>
      </c>
      <c r="B398" s="42" t="str">
        <f>IFERROR(INDEX(Mots!$B:$B,MATCH($A398,Mots!$A:$A,0)),"introuvable")</f>
        <v>le front</v>
      </c>
      <c r="C398" s="23" t="s">
        <v>8284</v>
      </c>
    </row>
    <row r="399" spans="1:9" x14ac:dyDescent="0.35">
      <c r="A399" s="23" t="s">
        <v>2148</v>
      </c>
      <c r="B399" s="42" t="str">
        <f>IFERROR(INDEX(Mots!$B:$B,MATCH($A399,Mots!$A:$A,0)),"introuvable")</f>
        <v>le coude</v>
      </c>
      <c r="C399" s="23" t="s">
        <v>8285</v>
      </c>
      <c r="I399" s="23" t="s">
        <v>8286</v>
      </c>
    </row>
    <row r="400" spans="1:9" x14ac:dyDescent="0.35">
      <c r="A400" s="23" t="s">
        <v>2152</v>
      </c>
      <c r="B400" s="42" t="str">
        <f>IFERROR(INDEX(Mots!$B:$B,MATCH($A400,Mots!$A:$A,0)),"introuvable")</f>
        <v>le genou</v>
      </c>
      <c r="C400" s="23" t="s">
        <v>8287</v>
      </c>
      <c r="I400" s="23" t="s">
        <v>8288</v>
      </c>
    </row>
    <row r="401" spans="1:9" x14ac:dyDescent="0.35">
      <c r="A401" s="23" t="s">
        <v>3109</v>
      </c>
      <c r="B401" s="42" t="str">
        <f>IFERROR(INDEX(Mots!$B:$B,MATCH($A401,Mots!$A:$A,0)),"introuvable")</f>
        <v>la peau</v>
      </c>
      <c r="C401" s="23" t="s">
        <v>8289</v>
      </c>
      <c r="I401" s="23" t="s">
        <v>8290</v>
      </c>
    </row>
    <row r="402" spans="1:9" x14ac:dyDescent="0.35">
      <c r="A402" s="23" t="s">
        <v>3112</v>
      </c>
      <c r="B402" s="42" t="str">
        <f>IFERROR(INDEX(Mots!$B:$B,MATCH($A402,Mots!$A:$A,0)),"introuvable")</f>
        <v>la voix</v>
      </c>
      <c r="C402" s="23" t="s">
        <v>8291</v>
      </c>
      <c r="I402" s="23" t="s">
        <v>8292</v>
      </c>
    </row>
    <row r="403" spans="1:9" x14ac:dyDescent="0.35">
      <c r="A403" s="23" t="s">
        <v>3116</v>
      </c>
      <c r="B403" s="42" t="str">
        <f>IFERROR(INDEX(Mots!$B:$B,MATCH($A403,Mots!$A:$A,0)),"introuvable")</f>
        <v>le cerveau</v>
      </c>
      <c r="C403" s="23" t="s">
        <v>8293</v>
      </c>
    </row>
    <row r="404" spans="1:9" x14ac:dyDescent="0.35">
      <c r="A404" s="23" t="s">
        <v>3120</v>
      </c>
      <c r="B404" s="42" t="str">
        <f>IFERROR(INDEX(Mots!$B:$B,MATCH($A404,Mots!$A:$A,0)),"introuvable")</f>
        <v>le muscle</v>
      </c>
      <c r="C404" s="23" t="s">
        <v>8294</v>
      </c>
    </row>
    <row r="405" spans="1:9" x14ac:dyDescent="0.35">
      <c r="A405" s="23" t="s">
        <v>3124</v>
      </c>
      <c r="B405" s="42" t="str">
        <f>IFERROR(INDEX(Mots!$B:$B,MATCH($A405,Mots!$A:$A,0)),"introuvable")</f>
        <v>le sang</v>
      </c>
      <c r="C405" s="23" t="s">
        <v>8295</v>
      </c>
      <c r="I405" s="23" t="s">
        <v>8296</v>
      </c>
    </row>
    <row r="406" spans="1:9" x14ac:dyDescent="0.35">
      <c r="A406" s="23" t="s">
        <v>3128</v>
      </c>
      <c r="B406" s="42" t="str">
        <f>IFERROR(INDEX(Mots!$B:$B,MATCH($A406,Mots!$A:$A,0)),"introuvable")</f>
        <v>le squelette</v>
      </c>
      <c r="C406" s="23" t="s">
        <v>8297</v>
      </c>
    </row>
    <row r="407" spans="1:9" x14ac:dyDescent="0.35">
      <c r="A407" s="23" t="s">
        <v>3132</v>
      </c>
      <c r="B407" s="42" t="str">
        <f>IFERROR(INDEX(Mots!$B:$B,MATCH($A407,Mots!$A:$A,0)),"introuvable")</f>
        <v>l'estomac</v>
      </c>
      <c r="C407" s="23" t="s">
        <v>8298</v>
      </c>
      <c r="I407" s="23" t="s">
        <v>8299</v>
      </c>
    </row>
    <row r="408" spans="1:9" x14ac:dyDescent="0.35">
      <c r="A408" s="23" t="s">
        <v>3136</v>
      </c>
      <c r="B408" s="42" t="str">
        <f>IFERROR(INDEX(Mots!$B:$B,MATCH($A408,Mots!$A:$A,0)),"introuvable")</f>
        <v>l'ongle</v>
      </c>
      <c r="C408" s="23" t="s">
        <v>8300</v>
      </c>
      <c r="I408" s="23" t="s">
        <v>8301</v>
      </c>
    </row>
    <row r="409" spans="1:9" x14ac:dyDescent="0.35">
      <c r="A409" s="23" t="s">
        <v>3140</v>
      </c>
      <c r="B409" s="42" t="str">
        <f>IFERROR(INDEX(Mots!$B:$B,MATCH($A409,Mots!$A:$A,0)),"introuvable")</f>
        <v>l'os</v>
      </c>
      <c r="C409" s="23" t="s">
        <v>8302</v>
      </c>
    </row>
    <row r="410" spans="1:9" x14ac:dyDescent="0.35">
      <c r="A410" s="23" t="s">
        <v>1094</v>
      </c>
      <c r="B410" s="42" t="str">
        <f>IFERROR(INDEX(Mots!$B:$B,MATCH($A410,Mots!$A:$A,0)),"introuvable")</f>
        <v>le bonnet</v>
      </c>
      <c r="C410" s="23" t="s">
        <v>8303</v>
      </c>
      <c r="I410" s="23" t="s">
        <v>8304</v>
      </c>
    </row>
    <row r="411" spans="1:9" x14ac:dyDescent="0.35">
      <c r="A411" s="23" t="s">
        <v>1098</v>
      </c>
      <c r="B411" s="42" t="str">
        <f>IFERROR(INDEX(Mots!$B:$B,MATCH($A411,Mots!$A:$A,0)),"introuvable")</f>
        <v>le gant</v>
      </c>
      <c r="C411" s="23" t="s">
        <v>8305</v>
      </c>
      <c r="I411" s="23" t="s">
        <v>8306</v>
      </c>
    </row>
    <row r="412" spans="1:9" x14ac:dyDescent="0.35">
      <c r="A412" s="23" t="s">
        <v>1106</v>
      </c>
      <c r="B412" s="42" t="str">
        <f>IFERROR(INDEX(Mots!$B:$B,MATCH($A412,Mots!$A:$A,0)),"introuvable")</f>
        <v>l'écharpe</v>
      </c>
      <c r="C412" s="23" t="s">
        <v>8307</v>
      </c>
      <c r="I412" s="23" t="s">
        <v>8308</v>
      </c>
    </row>
    <row r="413" spans="1:9" x14ac:dyDescent="0.35">
      <c r="A413" s="23" t="s">
        <v>3275</v>
      </c>
      <c r="B413" s="42" t="str">
        <f>IFERROR(INDEX(Mots!$B:$B,MATCH($A413,Mots!$A:$A,0)),"introuvable")</f>
        <v>la jupe</v>
      </c>
      <c r="C413" s="23" t="s">
        <v>8309</v>
      </c>
      <c r="I413" s="23" t="s">
        <v>8310</v>
      </c>
    </row>
    <row r="414" spans="1:9" x14ac:dyDescent="0.35">
      <c r="A414" s="23" t="s">
        <v>9631</v>
      </c>
      <c r="B414" s="42" t="str">
        <f>IFERROR(INDEX(Mots!$B:$B,MATCH($A414,Mots!$A:$A,0)),"introuvable")</f>
        <v>la bouteille</v>
      </c>
      <c r="C414" s="23" t="s">
        <v>8311</v>
      </c>
      <c r="I414" s="23" t="s">
        <v>8312</v>
      </c>
    </row>
    <row r="415" spans="1:9" x14ac:dyDescent="0.35">
      <c r="A415" s="23" t="s">
        <v>794</v>
      </c>
      <c r="B415" s="42" t="str">
        <f>IFERROR(INDEX(Mots!$B:$B,MATCH($A415,Mots!$A:$A,0)),"introuvable")</f>
        <v>la vaisselle</v>
      </c>
      <c r="C415" s="23" t="s">
        <v>8313</v>
      </c>
      <c r="I415" s="23" t="s">
        <v>8314</v>
      </c>
    </row>
    <row r="416" spans="1:9" x14ac:dyDescent="0.35">
      <c r="A416" s="23" t="s">
        <v>1529</v>
      </c>
      <c r="B416" s="42" t="str">
        <f>IFERROR(INDEX(Mots!$B:$B,MATCH($A416,Mots!$A:$A,0)),"introuvable")</f>
        <v>le thé</v>
      </c>
      <c r="C416" s="23" t="s">
        <v>8315</v>
      </c>
      <c r="I416" s="23" t="s">
        <v>8316</v>
      </c>
    </row>
    <row r="417" spans="1:9" x14ac:dyDescent="0.35">
      <c r="A417" s="23" t="s">
        <v>1848</v>
      </c>
      <c r="B417" s="42" t="str">
        <f>IFERROR(INDEX(Mots!$B:$B,MATCH($A417,Mots!$A:$A,0)),"introuvable")</f>
        <v>la pomme</v>
      </c>
      <c r="C417" s="23" t="s">
        <v>8317</v>
      </c>
      <c r="I417" s="23" t="s">
        <v>8318</v>
      </c>
    </row>
    <row r="418" spans="1:9" x14ac:dyDescent="0.35">
      <c r="A418" s="23" t="s">
        <v>1853</v>
      </c>
      <c r="B418" s="42" t="str">
        <f>IFERROR(INDEX(Mots!$B:$B,MATCH($A418,Mots!$A:$A,0)),"introuvable")</f>
        <v>la poire</v>
      </c>
      <c r="C418" s="23" t="s">
        <v>8319</v>
      </c>
    </row>
    <row r="419" spans="1:9" x14ac:dyDescent="0.35">
      <c r="A419" s="23" t="s">
        <v>1858</v>
      </c>
      <c r="B419" s="42" t="str">
        <f>IFERROR(INDEX(Mots!$B:$B,MATCH($A419,Mots!$A:$A,0)),"introuvable")</f>
        <v>le pruneau</v>
      </c>
      <c r="C419" s="23" t="s">
        <v>8320</v>
      </c>
      <c r="I419" s="23" t="s">
        <v>8321</v>
      </c>
    </row>
    <row r="420" spans="1:9" x14ac:dyDescent="0.35">
      <c r="A420" s="23" t="s">
        <v>1863</v>
      </c>
      <c r="B420" s="42" t="str">
        <f>IFERROR(INDEX(Mots!$B:$B,MATCH($A420,Mots!$A:$A,0)),"introuvable")</f>
        <v>la cerise</v>
      </c>
      <c r="C420" s="23" t="s">
        <v>8322</v>
      </c>
    </row>
    <row r="421" spans="1:9" x14ac:dyDescent="0.35">
      <c r="A421" s="23" t="s">
        <v>1868</v>
      </c>
      <c r="B421" s="42" t="str">
        <f>IFERROR(INDEX(Mots!$B:$B,MATCH($A421,Mots!$A:$A,0)),"introuvable")</f>
        <v>l'abricot</v>
      </c>
      <c r="C421" s="23" t="s">
        <v>8323</v>
      </c>
    </row>
    <row r="422" spans="1:9" x14ac:dyDescent="0.35">
      <c r="A422" s="23" t="s">
        <v>1872</v>
      </c>
      <c r="B422" s="42" t="str">
        <f>IFERROR(INDEX(Mots!$B:$B,MATCH($A422,Mots!$A:$A,0)),"introuvable")</f>
        <v>la fraise</v>
      </c>
      <c r="C422" s="23" t="s">
        <v>8324</v>
      </c>
      <c r="I422" s="23" t="s">
        <v>8325</v>
      </c>
    </row>
    <row r="423" spans="1:9" x14ac:dyDescent="0.35">
      <c r="A423" s="23" t="s">
        <v>1876</v>
      </c>
      <c r="B423" s="42" t="str">
        <f>IFERROR(INDEX(Mots!$B:$B,MATCH($A423,Mots!$A:$A,0)),"introuvable")</f>
        <v>la framboise</v>
      </c>
      <c r="C423" s="23" t="s">
        <v>8326</v>
      </c>
    </row>
    <row r="424" spans="1:9" x14ac:dyDescent="0.35">
      <c r="A424" s="23" t="s">
        <v>1880</v>
      </c>
      <c r="B424" s="42" t="str">
        <f>IFERROR(INDEX(Mots!$B:$B,MATCH($A424,Mots!$A:$A,0)),"introuvable")</f>
        <v>la banane</v>
      </c>
      <c r="C424" s="23" t="s">
        <v>8327</v>
      </c>
      <c r="I424" s="23" t="s">
        <v>8328</v>
      </c>
    </row>
    <row r="425" spans="1:9" x14ac:dyDescent="0.35">
      <c r="A425" s="23" t="s">
        <v>1885</v>
      </c>
      <c r="B425" s="42" t="str">
        <f>IFERROR(INDEX(Mots!$B:$B,MATCH($A425,Mots!$A:$A,0)),"introuvable")</f>
        <v>l'orange</v>
      </c>
      <c r="C425" s="23" t="s">
        <v>8329</v>
      </c>
      <c r="I425" s="23" t="s">
        <v>8330</v>
      </c>
    </row>
    <row r="426" spans="1:9" x14ac:dyDescent="0.35">
      <c r="A426" s="23" t="s">
        <v>1890</v>
      </c>
      <c r="B426" s="42" t="str">
        <f>IFERROR(INDEX(Mots!$B:$B,MATCH($A426,Mots!$A:$A,0)),"introuvable")</f>
        <v>la mandarine</v>
      </c>
      <c r="C426" s="23" t="s">
        <v>8331</v>
      </c>
    </row>
    <row r="427" spans="1:9" x14ac:dyDescent="0.35">
      <c r="A427" s="23" t="s">
        <v>1895</v>
      </c>
      <c r="B427" s="42" t="str">
        <f>IFERROR(INDEX(Mots!$B:$B,MATCH($A427,Mots!$A:$A,0)),"introuvable")</f>
        <v>l'avocat</v>
      </c>
      <c r="C427" s="23" t="s">
        <v>8332</v>
      </c>
    </row>
    <row r="428" spans="1:9" x14ac:dyDescent="0.35">
      <c r="A428" s="23" t="s">
        <v>1899</v>
      </c>
      <c r="B428" s="42" t="str">
        <f>IFERROR(INDEX(Mots!$B:$B,MATCH($A428,Mots!$A:$A,0)),"introuvable")</f>
        <v>la noix</v>
      </c>
      <c r="C428" s="23" t="s">
        <v>8333</v>
      </c>
      <c r="I428" s="23" t="s">
        <v>8334</v>
      </c>
    </row>
    <row r="429" spans="1:9" x14ac:dyDescent="0.35">
      <c r="A429" s="23" t="s">
        <v>1903</v>
      </c>
      <c r="B429" s="42" t="str">
        <f>IFERROR(INDEX(Mots!$B:$B,MATCH($A429,Mots!$A:$A,0)),"introuvable")</f>
        <v>la pêche</v>
      </c>
      <c r="C429" s="23" t="s">
        <v>8335</v>
      </c>
    </row>
    <row r="430" spans="1:9" x14ac:dyDescent="0.35">
      <c r="A430" s="23" t="s">
        <v>1907</v>
      </c>
      <c r="B430" s="42" t="str">
        <f>IFERROR(INDEX(Mots!$B:$B,MATCH($A430,Mots!$A:$A,0)),"introuvable")</f>
        <v>le raisin</v>
      </c>
      <c r="C430" s="23" t="s">
        <v>8336</v>
      </c>
    </row>
    <row r="431" spans="1:9" x14ac:dyDescent="0.35">
      <c r="A431" s="23" t="s">
        <v>2032</v>
      </c>
      <c r="B431" s="42" t="str">
        <f>IFERROR(INDEX(Mots!$B:$B,MATCH($A431,Mots!$A:$A,0)),"introuvable")</f>
        <v>le brocoli</v>
      </c>
      <c r="C431" s="23" t="s">
        <v>8337</v>
      </c>
    </row>
    <row r="432" spans="1:9" x14ac:dyDescent="0.35">
      <c r="A432" s="23" t="s">
        <v>2036</v>
      </c>
      <c r="B432" s="42" t="str">
        <f>IFERROR(INDEX(Mots!$B:$B,MATCH($A432,Mots!$A:$A,0)),"introuvable")</f>
        <v>l'asperge</v>
      </c>
      <c r="C432" s="23" t="s">
        <v>8338</v>
      </c>
    </row>
    <row r="433" spans="1:9" x14ac:dyDescent="0.35">
      <c r="A433" s="23" t="s">
        <v>2044</v>
      </c>
      <c r="B433" s="42" t="str">
        <f>IFERROR(INDEX(Mots!$B:$B,MATCH($A433,Mots!$A:$A,0)),"introuvable")</f>
        <v>la salade (laitue)</v>
      </c>
      <c r="C433" s="23" t="s">
        <v>8339</v>
      </c>
      <c r="I433" s="23" t="s">
        <v>8340</v>
      </c>
    </row>
    <row r="434" spans="1:9" x14ac:dyDescent="0.35">
      <c r="A434" s="23" t="s">
        <v>2051</v>
      </c>
      <c r="B434" s="42" t="str">
        <f>IFERROR(INDEX(Mots!$B:$B,MATCH($A434,Mots!$A:$A,0)),"introuvable")</f>
        <v>la betterave à salade</v>
      </c>
      <c r="C434" s="23" t="s">
        <v>8341</v>
      </c>
    </row>
    <row r="435" spans="1:9" x14ac:dyDescent="0.35">
      <c r="A435" s="23" t="s">
        <v>2055</v>
      </c>
      <c r="B435" s="42" t="str">
        <f>IFERROR(INDEX(Mots!$B:$B,MATCH($A435,Mots!$A:$A,0)),"introuvable")</f>
        <v>le haricot</v>
      </c>
      <c r="C435" s="23" t="s">
        <v>8342</v>
      </c>
    </row>
    <row r="436" spans="1:9" x14ac:dyDescent="0.35">
      <c r="A436" s="23" t="s">
        <v>2059</v>
      </c>
      <c r="B436" s="42" t="str">
        <f>IFERROR(INDEX(Mots!$B:$B,MATCH($A436,Mots!$A:$A,0)),"introuvable")</f>
        <v>l'oignon</v>
      </c>
      <c r="C436" s="23" t="s">
        <v>8343</v>
      </c>
      <c r="I436" s="23" t="s">
        <v>8344</v>
      </c>
    </row>
    <row r="437" spans="1:9" x14ac:dyDescent="0.35">
      <c r="A437" s="23" t="s">
        <v>2676</v>
      </c>
      <c r="B437" s="42" t="str">
        <f>IFERROR(INDEX(Mots!$B:$B,MATCH($A437,Mots!$A:$A,0)),"introuvable")</f>
        <v>les cornettes</v>
      </c>
      <c r="C437" s="23" t="s">
        <v>8345</v>
      </c>
    </row>
    <row r="438" spans="1:9" x14ac:dyDescent="0.35">
      <c r="A438" s="23" t="s">
        <v>2685</v>
      </c>
      <c r="B438" s="42" t="str">
        <f>IFERROR(INDEX(Mots!$B:$B,MATCH($A438,Mots!$A:$A,0)),"introuvable")</f>
        <v>les pennes</v>
      </c>
      <c r="C438" s="23" t="s">
        <v>8346</v>
      </c>
    </row>
    <row r="439" spans="1:9" x14ac:dyDescent="0.35">
      <c r="A439" s="23" t="s">
        <v>2698</v>
      </c>
      <c r="B439" s="42" t="str">
        <f>IFERROR(INDEX(Mots!$B:$B,MATCH($A439,Mots!$A:$A,0)),"introuvable")</f>
        <v>la polenta</v>
      </c>
      <c r="C439" s="23" t="s">
        <v>8347</v>
      </c>
    </row>
    <row r="440" spans="1:9" x14ac:dyDescent="0.35">
      <c r="A440" s="23" t="s">
        <v>2702</v>
      </c>
      <c r="B440" s="42" t="str">
        <f>IFERROR(INDEX(Mots!$B:$B,MATCH($A440,Mots!$A:$A,0)),"introuvable")</f>
        <v>la fondue</v>
      </c>
      <c r="C440" s="23" t="s">
        <v>8348</v>
      </c>
      <c r="I440" s="23" t="s">
        <v>8349</v>
      </c>
    </row>
    <row r="441" spans="1:9" x14ac:dyDescent="0.35">
      <c r="A441" s="23" t="s">
        <v>2706</v>
      </c>
      <c r="B441" s="42" t="str">
        <f>IFERROR(INDEX(Mots!$B:$B,MATCH($A441,Mots!$A:$A,0)),"introuvable")</f>
        <v>la raclette</v>
      </c>
      <c r="C441" s="23" t="s">
        <v>8350</v>
      </c>
      <c r="I441" s="23" t="s">
        <v>8351</v>
      </c>
    </row>
    <row r="442" spans="1:9" x14ac:dyDescent="0.35">
      <c r="A442" s="23" t="s">
        <v>771</v>
      </c>
      <c r="B442" s="42" t="str">
        <f>IFERROR(INDEX(Mots!$B:$B,MATCH($A442,Mots!$A:$A,0)),"introuvable")</f>
        <v>le caquelon et le réchaud</v>
      </c>
      <c r="C442" s="23" t="s">
        <v>8352</v>
      </c>
    </row>
    <row r="443" spans="1:9" x14ac:dyDescent="0.35">
      <c r="A443" s="23" t="s">
        <v>3147</v>
      </c>
      <c r="B443" s="42" t="str">
        <f>IFERROR(INDEX(Mots!$B:$B,MATCH($A443,Mots!$A:$A,0)),"introuvable")</f>
        <v>la serpillière</v>
      </c>
      <c r="C443" s="23" t="s">
        <v>8353</v>
      </c>
      <c r="I443" s="23" t="s">
        <v>8354</v>
      </c>
    </row>
    <row r="444" spans="1:9" x14ac:dyDescent="0.35">
      <c r="A444" s="23" t="s">
        <v>3159</v>
      </c>
      <c r="B444" s="42" t="str">
        <f>IFERROR(INDEX(Mots!$B:$B,MATCH($A444,Mots!$A:$A,0)),"introuvable")</f>
        <v>le chiffon</v>
      </c>
      <c r="C444" s="23" t="s">
        <v>8355</v>
      </c>
      <c r="I444" s="23" t="s">
        <v>8356</v>
      </c>
    </row>
    <row r="445" spans="1:9" x14ac:dyDescent="0.35">
      <c r="A445" s="23" t="s">
        <v>3172</v>
      </c>
      <c r="B445" s="42" t="str">
        <f>IFERROR(INDEX(Mots!$B:$B,MATCH($A445,Mots!$A:$A,0)),"introuvable")</f>
        <v>l'éponge</v>
      </c>
      <c r="C445" s="23" t="s">
        <v>8357</v>
      </c>
      <c r="I445" s="23" t="s">
        <v>8358</v>
      </c>
    </row>
    <row r="446" spans="1:9" x14ac:dyDescent="0.35">
      <c r="A446" s="23" t="s">
        <v>3210</v>
      </c>
      <c r="B446" s="42" t="str">
        <f>IFERROR(INDEX(Mots!$B:$B,MATCH($A446,Mots!$A:$A,0)),"introuvable")</f>
        <v>la lessive</v>
      </c>
      <c r="C446" s="23" t="s">
        <v>8359</v>
      </c>
      <c r="I446" s="23" t="s">
        <v>8360</v>
      </c>
    </row>
    <row r="447" spans="1:9" x14ac:dyDescent="0.35">
      <c r="A447" s="23" t="s">
        <v>3214</v>
      </c>
      <c r="B447" s="42" t="str">
        <f>IFERROR(INDEX(Mots!$B:$B,MATCH($A447,Mots!$A:$A,0)),"introuvable")</f>
        <v>le linge</v>
      </c>
      <c r="C447" s="23" t="s">
        <v>8361</v>
      </c>
      <c r="I447" s="23" t="s">
        <v>8362</v>
      </c>
    </row>
    <row r="448" spans="1:9" x14ac:dyDescent="0.35">
      <c r="A448" s="23" t="s">
        <v>3249</v>
      </c>
      <c r="B448" s="42" t="str">
        <f>IFERROR(INDEX(Mots!$B:$B,MATCH($A448,Mots!$A:$A,0)),"introuvable")</f>
        <v>l'entonnoir</v>
      </c>
      <c r="C448" s="23" t="s">
        <v>8363</v>
      </c>
    </row>
    <row r="449" spans="1:9" x14ac:dyDescent="0.35">
      <c r="A449" s="23" t="s">
        <v>2317</v>
      </c>
      <c r="B449" s="42" t="str">
        <f>IFERROR(INDEX(Mots!$B:$B,MATCH($A449,Mots!$A:$A,0)),"introuvable")</f>
        <v>la clé</v>
      </c>
      <c r="C449" s="23" t="s">
        <v>8364</v>
      </c>
      <c r="I449" s="23" t="s">
        <v>8365</v>
      </c>
    </row>
    <row r="450" spans="1:9" x14ac:dyDescent="0.35">
      <c r="A450" s="23" t="s">
        <v>2329</v>
      </c>
      <c r="B450" s="42" t="str">
        <f>IFERROR(INDEX(Mots!$B:$B,MATCH($A450,Mots!$A:$A,0)),"introuvable")</f>
        <v>le porte-monnaie</v>
      </c>
      <c r="C450" s="23" t="s">
        <v>8366</v>
      </c>
    </row>
    <row r="451" spans="1:9" x14ac:dyDescent="0.35">
      <c r="A451" s="23" t="s">
        <v>2965</v>
      </c>
      <c r="B451" s="42" t="str">
        <f>IFERROR(INDEX(Mots!$B:$B,MATCH($A451,Mots!$A:$A,0)),"introuvable")</f>
        <v>la portière</v>
      </c>
      <c r="C451" s="23" t="s">
        <v>8367</v>
      </c>
      <c r="I451" s="23" t="s">
        <v>8368</v>
      </c>
    </row>
    <row r="452" spans="1:9" x14ac:dyDescent="0.35">
      <c r="A452" s="23" t="s">
        <v>2973</v>
      </c>
      <c r="B452" s="42" t="str">
        <f>IFERROR(INDEX(Mots!$B:$B,MATCH($A452,Mots!$A:$A,0)),"introuvable")</f>
        <v>le clignotant</v>
      </c>
      <c r="C452" s="23" t="s">
        <v>8369</v>
      </c>
      <c r="I452" s="23" t="s">
        <v>8370</v>
      </c>
    </row>
    <row r="453" spans="1:9" x14ac:dyDescent="0.35">
      <c r="A453" s="23" t="s">
        <v>2977</v>
      </c>
      <c r="B453" s="42" t="str">
        <f>IFERROR(INDEX(Mots!$B:$B,MATCH($A453,Mots!$A:$A,0)),"introuvable")</f>
        <v>le klaxon</v>
      </c>
      <c r="C453" s="23" t="s">
        <v>8371</v>
      </c>
      <c r="I453" s="23" t="s">
        <v>8372</v>
      </c>
    </row>
    <row r="454" spans="1:9" x14ac:dyDescent="0.35">
      <c r="A454" s="23" t="s">
        <v>2985</v>
      </c>
      <c r="B454" s="42" t="str">
        <f>IFERROR(INDEX(Mots!$B:$B,MATCH($A454,Mots!$A:$A,0)),"introuvable")</f>
        <v>le phare</v>
      </c>
      <c r="C454" s="23" t="s">
        <v>8373</v>
      </c>
      <c r="I454" s="23" t="s">
        <v>8374</v>
      </c>
    </row>
    <row r="455" spans="1:9" x14ac:dyDescent="0.35">
      <c r="A455" s="23" t="s">
        <v>2993</v>
      </c>
      <c r="B455" s="42" t="str">
        <f>IFERROR(INDEX(Mots!$B:$B,MATCH($A455,Mots!$A:$A,0)),"introuvable")</f>
        <v>le rétroviseur</v>
      </c>
      <c r="C455" s="23" t="s">
        <v>8375</v>
      </c>
    </row>
    <row r="456" spans="1:9" x14ac:dyDescent="0.35">
      <c r="A456" s="23" t="s">
        <v>3020</v>
      </c>
      <c r="B456" s="42" t="str">
        <f>IFERROR(INDEX(Mots!$B:$B,MATCH($A456,Mots!$A:$A,0)),"introuvable")</f>
        <v>la vitesse</v>
      </c>
      <c r="C456" s="23" t="s">
        <v>8376</v>
      </c>
      <c r="I456" s="23" t="s">
        <v>8377</v>
      </c>
    </row>
    <row r="457" spans="1:9" x14ac:dyDescent="0.35">
      <c r="A457" s="23" t="s">
        <v>1398</v>
      </c>
      <c r="B457" s="42" t="str">
        <f>IFERROR(INDEX(Mots!$B:$B,MATCH($A457,Mots!$A:$A,0)),"introuvable")</f>
        <v>la pièce de monnaie</v>
      </c>
      <c r="C457" s="23" t="s">
        <v>8378</v>
      </c>
    </row>
    <row r="458" spans="1:9" x14ac:dyDescent="0.35">
      <c r="A458" s="23" t="s">
        <v>1402</v>
      </c>
      <c r="B458" s="42" t="str">
        <f>IFERROR(INDEX(Mots!$B:$B,MATCH($A458,Mots!$A:$A,0)),"introuvable")</f>
        <v>le code</v>
      </c>
      <c r="C458" s="23" t="s">
        <v>8379</v>
      </c>
      <c r="I458" s="23" t="s">
        <v>8380</v>
      </c>
    </row>
    <row r="459" spans="1:9" x14ac:dyDescent="0.35">
      <c r="A459" s="23" t="s">
        <v>1406</v>
      </c>
      <c r="B459" s="42" t="str">
        <f>IFERROR(INDEX(Mots!$B:$B,MATCH($A459,Mots!$A:$A,0)),"introuvable")</f>
        <v>le compte</v>
      </c>
      <c r="C459" s="23" t="s">
        <v>8381</v>
      </c>
    </row>
    <row r="460" spans="1:9" x14ac:dyDescent="0.35">
      <c r="A460" s="23" t="s">
        <v>1410</v>
      </c>
      <c r="B460" s="42" t="str">
        <f>IFERROR(INDEX(Mots!$B:$B,MATCH($A460,Mots!$A:$A,0)),"introuvable")</f>
        <v>le guichet</v>
      </c>
      <c r="C460" s="23" t="s">
        <v>8382</v>
      </c>
      <c r="I460" s="23" t="s">
        <v>8383</v>
      </c>
    </row>
    <row r="461" spans="1:9" x14ac:dyDescent="0.35">
      <c r="A461" s="23" t="s">
        <v>1414</v>
      </c>
      <c r="B461" s="42" t="str">
        <f>IFERROR(INDEX(Mots!$B:$B,MATCH($A461,Mots!$A:$A,0)),"introuvable")</f>
        <v>le retrait</v>
      </c>
      <c r="C461" s="23" t="s">
        <v>8384</v>
      </c>
      <c r="I461" s="23" t="s">
        <v>8385</v>
      </c>
    </row>
    <row r="462" spans="1:9" x14ac:dyDescent="0.35">
      <c r="A462" s="23" t="s">
        <v>1418</v>
      </c>
      <c r="B462" s="42" t="str">
        <f>IFERROR(INDEX(Mots!$B:$B,MATCH($A462,Mots!$A:$A,0)),"introuvable")</f>
        <v>le solde</v>
      </c>
      <c r="C462" s="23" t="s">
        <v>8386</v>
      </c>
    </row>
    <row r="463" spans="1:9" x14ac:dyDescent="0.35">
      <c r="A463" s="23" t="s">
        <v>1422</v>
      </c>
      <c r="B463" s="42" t="str">
        <f>IFERROR(INDEX(Mots!$B:$B,MATCH($A463,Mots!$A:$A,0)),"introuvable")</f>
        <v>le virement</v>
      </c>
      <c r="C463" s="23" t="s">
        <v>8387</v>
      </c>
      <c r="I463" s="23" t="s">
        <v>8388</v>
      </c>
    </row>
    <row r="464" spans="1:9" x14ac:dyDescent="0.35">
      <c r="A464" s="23" t="s">
        <v>1390</v>
      </c>
      <c r="B464" s="42" t="str">
        <f>IFERROR(INDEX(Mots!$B:$B,MATCH($A464,Mots!$A:$A,0)),"introuvable")</f>
        <v>le prêt hypothécaire</v>
      </c>
      <c r="C464" s="23" t="s">
        <v>8389</v>
      </c>
    </row>
    <row r="465" spans="1:9" x14ac:dyDescent="0.35">
      <c r="A465" s="23" t="s">
        <v>678</v>
      </c>
      <c r="B465" s="42" t="str">
        <f>IFERROR(INDEX(Mots!$B:$B,MATCH($A465,Mots!$A:$A,0)),"introuvable")</f>
        <v>le spectacle</v>
      </c>
      <c r="C465" s="23" t="s">
        <v>8390</v>
      </c>
      <c r="I465" s="23" t="s">
        <v>8391</v>
      </c>
    </row>
    <row r="466" spans="1:9" x14ac:dyDescent="0.35">
      <c r="A466" s="23" t="s">
        <v>3405</v>
      </c>
      <c r="B466" s="42" t="str">
        <f>IFERROR(INDEX(Mots!$B:$B,MATCH($A466,Mots!$A:$A,0)),"introuvable")</f>
        <v>accepter</v>
      </c>
      <c r="C466" s="23" t="s">
        <v>8392</v>
      </c>
      <c r="I466" s="23" t="s">
        <v>8393</v>
      </c>
    </row>
    <row r="467" spans="1:9" x14ac:dyDescent="0.35">
      <c r="A467" s="23" t="s">
        <v>3414</v>
      </c>
      <c r="B467" s="42" t="str">
        <f>IFERROR(INDEX(Mots!$B:$B,MATCH($A467,Mots!$A:$A,0)),"introuvable")</f>
        <v>acheter</v>
      </c>
      <c r="C467" s="23" t="s">
        <v>8394</v>
      </c>
      <c r="I467" s="23" t="s">
        <v>8395</v>
      </c>
    </row>
    <row r="468" spans="1:9" x14ac:dyDescent="0.35">
      <c r="A468" s="23" t="s">
        <v>3434</v>
      </c>
      <c r="B468" s="42" t="str">
        <f>IFERROR(INDEX(Mots!$B:$B,MATCH($A468,Mots!$A:$A,0)),"introuvable")</f>
        <v>aider</v>
      </c>
      <c r="C468" s="23" t="s">
        <v>8396</v>
      </c>
      <c r="I468" s="23" t="s">
        <v>8397</v>
      </c>
    </row>
    <row r="469" spans="1:9" x14ac:dyDescent="0.35">
      <c r="A469" s="23" t="s">
        <v>3450</v>
      </c>
      <c r="B469" s="42" t="str">
        <f>IFERROR(INDEX(Mots!$B:$B,MATCH($A469,Mots!$A:$A,0)),"introuvable")</f>
        <v>aimer</v>
      </c>
      <c r="C469" s="23" t="s">
        <v>8398</v>
      </c>
      <c r="I469" s="23" t="s">
        <v>8399</v>
      </c>
    </row>
    <row r="470" spans="1:9" x14ac:dyDescent="0.35">
      <c r="A470" s="23" t="s">
        <v>3458</v>
      </c>
      <c r="B470" s="42" t="str">
        <f>IFERROR(INDEX(Mots!$B:$B,MATCH($A470,Mots!$A:$A,0)),"introuvable")</f>
        <v>aller</v>
      </c>
      <c r="C470" s="23" t="s">
        <v>8400</v>
      </c>
      <c r="I470" s="23" t="s">
        <v>8401</v>
      </c>
    </row>
    <row r="471" spans="1:9" x14ac:dyDescent="0.35">
      <c r="A471" s="23" t="s">
        <v>3466</v>
      </c>
      <c r="B471" s="42" t="str">
        <f>IFERROR(INDEX(Mots!$B:$B,MATCH($A471,Mots!$A:$A,0)),"introuvable")</f>
        <v>annoncer</v>
      </c>
      <c r="C471" s="23" t="s">
        <v>8402</v>
      </c>
      <c r="I471" s="23" t="s">
        <v>8403</v>
      </c>
    </row>
    <row r="472" spans="1:9" x14ac:dyDescent="0.35">
      <c r="A472" s="23" t="s">
        <v>3473</v>
      </c>
      <c r="B472" s="42" t="str">
        <f>IFERROR(INDEX(Mots!$B:$B,MATCH($A472,Mots!$A:$A,0)),"introuvable")</f>
        <v>appeler</v>
      </c>
      <c r="C472" s="23" t="s">
        <v>8404</v>
      </c>
      <c r="I472" s="23" t="s">
        <v>8405</v>
      </c>
    </row>
    <row r="473" spans="1:9" x14ac:dyDescent="0.35">
      <c r="A473" s="23" t="s">
        <v>3481</v>
      </c>
      <c r="B473" s="42" t="str">
        <f>IFERROR(INDEX(Mots!$B:$B,MATCH($A473,Mots!$A:$A,0)),"introuvable")</f>
        <v>apprendre</v>
      </c>
      <c r="C473" s="23" t="s">
        <v>8406</v>
      </c>
      <c r="I473" s="23" t="s">
        <v>8407</v>
      </c>
    </row>
    <row r="474" spans="1:9" x14ac:dyDescent="0.35">
      <c r="A474" s="23" t="s">
        <v>3524</v>
      </c>
      <c r="B474" s="42" t="str">
        <f>IFERROR(INDEX(Mots!$B:$B,MATCH($A474,Mots!$A:$A,0)),"introuvable")</f>
        <v>avoir</v>
      </c>
      <c r="C474" s="23" t="s">
        <v>8408</v>
      </c>
      <c r="I474" s="23" t="s">
        <v>8409</v>
      </c>
    </row>
    <row r="475" spans="1:9" x14ac:dyDescent="0.35">
      <c r="A475" s="23" t="s">
        <v>3528</v>
      </c>
      <c r="B475" s="42" t="str">
        <f>IFERROR(INDEX(Mots!$B:$B,MATCH($A475,Mots!$A:$A,0)),"introuvable")</f>
        <v>avouer</v>
      </c>
      <c r="C475" s="23" t="s">
        <v>8410</v>
      </c>
      <c r="I475" s="23" t="s">
        <v>8411</v>
      </c>
    </row>
    <row r="476" spans="1:9" x14ac:dyDescent="0.35">
      <c r="A476" s="23" t="s">
        <v>3548</v>
      </c>
      <c r="B476" s="42" t="str">
        <f>IFERROR(INDEX(Mots!$B:$B,MATCH($A476,Mots!$A:$A,0)),"introuvable")</f>
        <v>boire</v>
      </c>
      <c r="C476" s="23" t="s">
        <v>8412</v>
      </c>
      <c r="I476" s="23" t="s">
        <v>8413</v>
      </c>
    </row>
    <row r="477" spans="1:9" x14ac:dyDescent="0.35">
      <c r="A477" s="23" t="s">
        <v>3561</v>
      </c>
      <c r="B477" s="42" t="str">
        <f>IFERROR(INDEX(Mots!$B:$B,MATCH($A477,Mots!$A:$A,0)),"introuvable")</f>
        <v>cacher</v>
      </c>
      <c r="C477" s="23" t="s">
        <v>8414</v>
      </c>
      <c r="I477" s="23" t="s">
        <v>8415</v>
      </c>
    </row>
    <row r="478" spans="1:9" x14ac:dyDescent="0.35">
      <c r="A478" s="23" t="s">
        <v>3571</v>
      </c>
      <c r="B478" s="42" t="str">
        <f>IFERROR(INDEX(Mots!$B:$B,MATCH($A478,Mots!$A:$A,0)),"introuvable")</f>
        <v>casser</v>
      </c>
      <c r="C478" s="23" t="s">
        <v>8416</v>
      </c>
      <c r="I478" s="23" t="s">
        <v>8417</v>
      </c>
    </row>
    <row r="479" spans="1:9" x14ac:dyDescent="0.35">
      <c r="A479" s="23" t="s">
        <v>3588</v>
      </c>
      <c r="B479" s="42" t="str">
        <f>IFERROR(INDEX(Mots!$B:$B,MATCH($A479,Mots!$A:$A,0)),"introuvable")</f>
        <v>chanter</v>
      </c>
      <c r="C479" s="23" t="s">
        <v>8418</v>
      </c>
      <c r="I479" s="23" t="s">
        <v>8419</v>
      </c>
    </row>
    <row r="480" spans="1:9" x14ac:dyDescent="0.35">
      <c r="A480" s="23" t="s">
        <v>3596</v>
      </c>
      <c r="B480" s="42" t="str">
        <f>IFERROR(INDEX(Mots!$B:$B,MATCH($A480,Mots!$A:$A,0)),"introuvable")</f>
        <v>chercher</v>
      </c>
      <c r="C480" s="23" t="s">
        <v>8420</v>
      </c>
      <c r="I480" s="23" t="s">
        <v>8421</v>
      </c>
    </row>
    <row r="481" spans="1:9" x14ac:dyDescent="0.35">
      <c r="A481" s="23" t="s">
        <v>3652</v>
      </c>
      <c r="B481" s="42" t="str">
        <f>IFERROR(INDEX(Mots!$B:$B,MATCH($A481,Mots!$A:$A,0)),"introuvable")</f>
        <v>comprendre</v>
      </c>
      <c r="C481" s="23" t="s">
        <v>8422</v>
      </c>
      <c r="I481" s="23" t="s">
        <v>8423</v>
      </c>
    </row>
    <row r="482" spans="1:9" x14ac:dyDescent="0.35">
      <c r="A482" s="23" t="s">
        <v>3658</v>
      </c>
      <c r="B482" s="42" t="str">
        <f>IFERROR(INDEX(Mots!$B:$B,MATCH($A482,Mots!$A:$A,0)),"introuvable")</f>
        <v>compter</v>
      </c>
      <c r="C482" s="23" t="s">
        <v>8424</v>
      </c>
      <c r="I482" s="23" t="s">
        <v>8425</v>
      </c>
    </row>
    <row r="483" spans="1:9" x14ac:dyDescent="0.35">
      <c r="A483" s="23" t="s">
        <v>3672</v>
      </c>
      <c r="B483" s="42" t="str">
        <f>IFERROR(INDEX(Mots!$B:$B,MATCH($A483,Mots!$A:$A,0)),"introuvable")</f>
        <v>connaître</v>
      </c>
      <c r="C483" s="23" t="s">
        <v>8426</v>
      </c>
      <c r="I483" s="23" t="s">
        <v>8427</v>
      </c>
    </row>
    <row r="484" spans="1:9" x14ac:dyDescent="0.35">
      <c r="A484" s="23" t="s">
        <v>3676</v>
      </c>
      <c r="B484" s="42" t="str">
        <f>IFERROR(INDEX(Mots!$B:$B,MATCH($A484,Mots!$A:$A,0)),"introuvable")</f>
        <v>conseiller</v>
      </c>
      <c r="C484" s="23" t="s">
        <v>8428</v>
      </c>
      <c r="I484" s="23" t="s">
        <v>8429</v>
      </c>
    </row>
    <row r="485" spans="1:9" x14ac:dyDescent="0.35">
      <c r="A485" s="23" t="s">
        <v>3697</v>
      </c>
      <c r="B485" s="42" t="str">
        <f>IFERROR(INDEX(Mots!$B:$B,MATCH($A485,Mots!$A:$A,0)),"introuvable")</f>
        <v>couper</v>
      </c>
      <c r="C485" s="23" t="s">
        <v>8430</v>
      </c>
      <c r="I485" s="23" t="s">
        <v>8431</v>
      </c>
    </row>
    <row r="486" spans="1:9" x14ac:dyDescent="0.35">
      <c r="A486" s="23" t="s">
        <v>3705</v>
      </c>
      <c r="B486" s="42" t="str">
        <f>IFERROR(INDEX(Mots!$B:$B,MATCH($A486,Mots!$A:$A,0)),"introuvable")</f>
        <v>courir</v>
      </c>
      <c r="C486" s="23" t="s">
        <v>8432</v>
      </c>
      <c r="I486" s="23" t="s">
        <v>8433</v>
      </c>
    </row>
    <row r="487" spans="1:9" x14ac:dyDescent="0.35">
      <c r="A487" s="23" t="s">
        <v>3720</v>
      </c>
      <c r="B487" s="42" t="str">
        <f>IFERROR(INDEX(Mots!$B:$B,MATCH($A487,Mots!$A:$A,0)),"introuvable")</f>
        <v>crier</v>
      </c>
      <c r="C487" s="23" t="s">
        <v>8434</v>
      </c>
      <c r="I487" s="23" t="s">
        <v>8435</v>
      </c>
    </row>
    <row r="488" spans="1:9" x14ac:dyDescent="0.35">
      <c r="A488" s="23" t="s">
        <v>3728</v>
      </c>
      <c r="B488" s="42" t="str">
        <f>IFERROR(INDEX(Mots!$B:$B,MATCH($A488,Mots!$A:$A,0)),"introuvable")</f>
        <v>croire</v>
      </c>
      <c r="C488" s="23" t="s">
        <v>8436</v>
      </c>
    </row>
    <row r="489" spans="1:9" x14ac:dyDescent="0.35">
      <c r="A489" s="23" t="s">
        <v>3734</v>
      </c>
      <c r="B489" s="42" t="str">
        <f>IFERROR(INDEX(Mots!$B:$B,MATCH($A489,Mots!$A:$A,0)),"introuvable")</f>
        <v>cuire</v>
      </c>
      <c r="C489" s="23" t="s">
        <v>8437</v>
      </c>
      <c r="I489" s="23" t="s">
        <v>8438</v>
      </c>
    </row>
    <row r="490" spans="1:9" x14ac:dyDescent="0.35">
      <c r="A490" s="23" t="s">
        <v>3759</v>
      </c>
      <c r="B490" s="42" t="str">
        <f>IFERROR(INDEX(Mots!$B:$B,MATCH($A490,Mots!$A:$A,0)),"introuvable")</f>
        <v>danser</v>
      </c>
      <c r="C490" s="23" t="s">
        <v>8439</v>
      </c>
      <c r="I490" s="23" t="s">
        <v>8440</v>
      </c>
    </row>
    <row r="491" spans="1:9" x14ac:dyDescent="0.35">
      <c r="A491" s="23" t="s">
        <v>3767</v>
      </c>
      <c r="B491" s="42" t="str">
        <f>IFERROR(INDEX(Mots!$B:$B,MATCH($A491,Mots!$A:$A,0)),"introuvable")</f>
        <v>décider</v>
      </c>
      <c r="C491" s="23" t="s">
        <v>8441</v>
      </c>
      <c r="I491" s="23" t="s">
        <v>8442</v>
      </c>
    </row>
    <row r="492" spans="1:9" x14ac:dyDescent="0.35">
      <c r="A492" s="23" t="s">
        <v>3789</v>
      </c>
      <c r="B492" s="42" t="str">
        <f>IFERROR(INDEX(Mots!$B:$B,MATCH($A492,Mots!$A:$A,0)),"introuvable")</f>
        <v>demander</v>
      </c>
      <c r="C492" s="23" t="s">
        <v>8443</v>
      </c>
      <c r="I492" s="23" t="s">
        <v>8444</v>
      </c>
    </row>
    <row r="493" spans="1:9" x14ac:dyDescent="0.35">
      <c r="A493" s="23" t="s">
        <v>3796</v>
      </c>
      <c r="B493" s="42" t="str">
        <f>IFERROR(INDEX(Mots!$B:$B,MATCH($A493,Mots!$A:$A,0)),"introuvable")</f>
        <v>descendre</v>
      </c>
      <c r="C493" s="23" t="s">
        <v>8445</v>
      </c>
      <c r="I493" s="23" t="s">
        <v>8446</v>
      </c>
    </row>
    <row r="494" spans="1:9" x14ac:dyDescent="0.35">
      <c r="A494" s="23" t="s">
        <v>3804</v>
      </c>
      <c r="B494" s="42" t="str">
        <f>IFERROR(INDEX(Mots!$B:$B,MATCH($A494,Mots!$A:$A,0)),"introuvable")</f>
        <v>deviner</v>
      </c>
      <c r="C494" s="23" t="s">
        <v>8447</v>
      </c>
      <c r="I494" s="23" t="s">
        <v>8448</v>
      </c>
    </row>
    <row r="495" spans="1:9" x14ac:dyDescent="0.35">
      <c r="A495" s="23" t="s">
        <v>3813</v>
      </c>
      <c r="B495" s="42" t="str">
        <f>IFERROR(INDEX(Mots!$B:$B,MATCH($A495,Mots!$A:$A,0)),"introuvable")</f>
        <v>dire</v>
      </c>
      <c r="C495" s="23" t="s">
        <v>8449</v>
      </c>
      <c r="I495" s="23" t="s">
        <v>8450</v>
      </c>
    </row>
    <row r="496" spans="1:9" x14ac:dyDescent="0.35">
      <c r="A496" s="23" t="s">
        <v>3825</v>
      </c>
      <c r="B496" s="42" t="str">
        <f>IFERROR(INDEX(Mots!$B:$B,MATCH($A496,Mots!$A:$A,0)),"introuvable")</f>
        <v>donner</v>
      </c>
      <c r="C496" s="23" t="s">
        <v>8451</v>
      </c>
      <c r="I496" s="23" t="s">
        <v>8452</v>
      </c>
    </row>
    <row r="497" spans="1:9" x14ac:dyDescent="0.35">
      <c r="A497" s="23" t="s">
        <v>3831</v>
      </c>
      <c r="B497" s="42" t="str">
        <f>IFERROR(INDEX(Mots!$B:$B,MATCH($A497,Mots!$A:$A,0)),"introuvable")</f>
        <v>dormir</v>
      </c>
      <c r="C497" s="23" t="s">
        <v>8453</v>
      </c>
      <c r="I497" s="23" t="s">
        <v>8454</v>
      </c>
    </row>
    <row r="498" spans="1:9" x14ac:dyDescent="0.35">
      <c r="A498" s="23" t="s">
        <v>3852</v>
      </c>
      <c r="B498" s="42" t="str">
        <f>IFERROR(INDEX(Mots!$B:$B,MATCH($A498,Mots!$A:$A,0)),"introuvable")</f>
        <v>douter</v>
      </c>
      <c r="C498" s="23" t="s">
        <v>8455</v>
      </c>
    </row>
    <row r="499" spans="1:9" x14ac:dyDescent="0.35">
      <c r="A499" s="23" t="s">
        <v>3857</v>
      </c>
      <c r="B499" s="42" t="str">
        <f>IFERROR(INDEX(Mots!$B:$B,MATCH($A499,Mots!$A:$A,0)),"introuvable")</f>
        <v>écouter</v>
      </c>
      <c r="C499" s="23" t="s">
        <v>8456</v>
      </c>
      <c r="I499" s="23" t="s">
        <v>8457</v>
      </c>
    </row>
    <row r="500" spans="1:9" x14ac:dyDescent="0.35">
      <c r="A500" s="23" t="s">
        <v>3865</v>
      </c>
      <c r="B500" s="42" t="str">
        <f>IFERROR(INDEX(Mots!$B:$B,MATCH($A500,Mots!$A:$A,0)),"introuvable")</f>
        <v>écrire</v>
      </c>
      <c r="C500" s="23" t="s">
        <v>8458</v>
      </c>
      <c r="I500" s="23" t="s">
        <v>8459</v>
      </c>
    </row>
    <row r="501" spans="1:9" x14ac:dyDescent="0.35">
      <c r="A501" s="23" t="s">
        <v>3903</v>
      </c>
      <c r="B501" s="42" t="str">
        <f>IFERROR(INDEX(Mots!$B:$B,MATCH($A501,Mots!$A:$A,0)),"introuvable")</f>
        <v>entendre</v>
      </c>
      <c r="C501" s="23" t="s">
        <v>8460</v>
      </c>
      <c r="I501" s="23" t="s">
        <v>8461</v>
      </c>
    </row>
    <row r="502" spans="1:9" x14ac:dyDescent="0.35">
      <c r="A502" s="23" t="s">
        <v>3911</v>
      </c>
      <c r="B502" s="42" t="str">
        <f>IFERROR(INDEX(Mots!$B:$B,MATCH($A502,Mots!$A:$A,0)),"introuvable")</f>
        <v>entrer</v>
      </c>
      <c r="C502" s="23" t="s">
        <v>8462</v>
      </c>
      <c r="I502" s="23" t="s">
        <v>8463</v>
      </c>
    </row>
    <row r="503" spans="1:9" x14ac:dyDescent="0.35">
      <c r="A503" s="23" t="s">
        <v>3924</v>
      </c>
      <c r="B503" s="42" t="str">
        <f>IFERROR(INDEX(Mots!$B:$B,MATCH($A503,Mots!$A:$A,0)),"introuvable")</f>
        <v>essayer</v>
      </c>
      <c r="C503" s="23" t="s">
        <v>8464</v>
      </c>
      <c r="I503" s="23" t="s">
        <v>8465</v>
      </c>
    </row>
    <row r="504" spans="1:9" x14ac:dyDescent="0.35">
      <c r="A504" s="23" t="s">
        <v>3932</v>
      </c>
      <c r="B504" s="42" t="str">
        <f>IFERROR(INDEX(Mots!$B:$B,MATCH($A504,Mots!$A:$A,0)),"introuvable")</f>
        <v>expliquer</v>
      </c>
      <c r="C504" s="23" t="s">
        <v>8466</v>
      </c>
      <c r="I504" s="23" t="s">
        <v>8467</v>
      </c>
    </row>
    <row r="505" spans="1:9" x14ac:dyDescent="0.35">
      <c r="A505" s="23" t="s">
        <v>3942</v>
      </c>
      <c r="B505" s="42" t="str">
        <f>IFERROR(INDEX(Mots!$B:$B,MATCH($A505,Mots!$A:$A,0)),"introuvable")</f>
        <v>faire</v>
      </c>
      <c r="C505" s="23" t="s">
        <v>8468</v>
      </c>
      <c r="I505" s="23" t="s">
        <v>8469</v>
      </c>
    </row>
    <row r="506" spans="1:9" x14ac:dyDescent="0.35">
      <c r="A506" s="23" t="s">
        <v>3954</v>
      </c>
      <c r="B506" s="42" t="str">
        <f>IFERROR(INDEX(Mots!$B:$B,MATCH($A506,Mots!$A:$A,0)),"introuvable")</f>
        <v>féliciter</v>
      </c>
      <c r="C506" s="23" t="s">
        <v>8470</v>
      </c>
      <c r="I506" s="23" t="s">
        <v>8471</v>
      </c>
    </row>
    <row r="507" spans="1:9" x14ac:dyDescent="0.35">
      <c r="A507" s="23" t="s">
        <v>3973</v>
      </c>
      <c r="B507" s="42" t="str">
        <f>IFERROR(INDEX(Mots!$B:$B,MATCH($A507,Mots!$A:$A,0)),"introuvable")</f>
        <v>finir</v>
      </c>
      <c r="C507" s="23" t="s">
        <v>8472</v>
      </c>
      <c r="I507" s="23" t="s">
        <v>8473</v>
      </c>
    </row>
    <row r="508" spans="1:9" x14ac:dyDescent="0.35">
      <c r="A508" s="23" t="s">
        <v>3982</v>
      </c>
      <c r="B508" s="42" t="str">
        <f>IFERROR(INDEX(Mots!$B:$B,MATCH($A508,Mots!$A:$A,0)),"introuvable")</f>
        <v>frapper</v>
      </c>
      <c r="C508" s="23" t="s">
        <v>8474</v>
      </c>
      <c r="I508" s="23" t="s">
        <v>8475</v>
      </c>
    </row>
    <row r="509" spans="1:9" x14ac:dyDescent="0.35">
      <c r="A509" s="23" t="s">
        <v>3990</v>
      </c>
      <c r="B509" s="42" t="str">
        <f>IFERROR(INDEX(Mots!$B:$B,MATCH($A509,Mots!$A:$A,0)),"introuvable")</f>
        <v>gagner</v>
      </c>
      <c r="C509" s="23" t="s">
        <v>8476</v>
      </c>
      <c r="I509" s="23" t="s">
        <v>8477</v>
      </c>
    </row>
    <row r="510" spans="1:9" x14ac:dyDescent="0.35">
      <c r="A510" s="23" t="s">
        <v>4004</v>
      </c>
      <c r="B510" s="42" t="str">
        <f>IFERROR(INDEX(Mots!$B:$B,MATCH($A510,Mots!$A:$A,0)),"introuvable")</f>
        <v>goûter</v>
      </c>
      <c r="C510" s="23" t="s">
        <v>8478</v>
      </c>
      <c r="I510" s="23" t="s">
        <v>8479</v>
      </c>
    </row>
    <row r="511" spans="1:9" x14ac:dyDescent="0.35">
      <c r="A511" s="23" t="s">
        <v>4039</v>
      </c>
      <c r="B511" s="42" t="str">
        <f>IFERROR(INDEX(Mots!$B:$B,MATCH($A511,Mots!$A:$A,0)),"introuvable")</f>
        <v>imaginer</v>
      </c>
      <c r="C511" s="23" t="s">
        <v>8480</v>
      </c>
    </row>
    <row r="512" spans="1:9" x14ac:dyDescent="0.35">
      <c r="A512" s="23" t="s">
        <v>4059</v>
      </c>
      <c r="B512" s="42" t="str">
        <f>IFERROR(INDEX(Mots!$B:$B,MATCH($A512,Mots!$A:$A,0)),"introuvable")</f>
        <v>jeter</v>
      </c>
      <c r="C512" s="23" t="s">
        <v>8481</v>
      </c>
      <c r="I512" s="23" t="s">
        <v>8482</v>
      </c>
    </row>
    <row r="513" spans="1:9" x14ac:dyDescent="0.35">
      <c r="A513" s="23" t="s">
        <v>4065</v>
      </c>
      <c r="B513" s="42" t="str">
        <f>IFERROR(INDEX(Mots!$B:$B,MATCH($A513,Mots!$A:$A,0)),"introuvable")</f>
        <v>jouer</v>
      </c>
      <c r="C513" s="23" t="s">
        <v>8483</v>
      </c>
      <c r="I513" s="23" t="s">
        <v>8484</v>
      </c>
    </row>
    <row r="514" spans="1:9" x14ac:dyDescent="0.35">
      <c r="A514" s="23" t="s">
        <v>4342</v>
      </c>
      <c r="B514" s="42" t="str">
        <f>IFERROR(INDEX(Mots!$B:$B,MATCH($A514,Mots!$A:$A,0)),"introuvable")</f>
        <v>dépenser</v>
      </c>
      <c r="C514" s="23" t="s">
        <v>8485</v>
      </c>
      <c r="I514" s="23" t="s">
        <v>8486</v>
      </c>
    </row>
    <row r="515" spans="1:9" x14ac:dyDescent="0.35">
      <c r="A515" s="23" t="s">
        <v>4347</v>
      </c>
      <c r="B515" s="42" t="str">
        <f>IFERROR(INDEX(Mots!$B:$B,MATCH($A515,Mots!$A:$A,0)),"introuvable")</f>
        <v>se détendre</v>
      </c>
      <c r="C515" s="23" t="s">
        <v>8487</v>
      </c>
      <c r="I515" s="23" t="s">
        <v>8488</v>
      </c>
    </row>
    <row r="516" spans="1:9" x14ac:dyDescent="0.35">
      <c r="A516" s="23" t="s">
        <v>5274</v>
      </c>
      <c r="B516" s="42" t="str">
        <f>IFERROR(INDEX(Mots!$B:$B,MATCH($A516,Mots!$A:$A,0)),"introuvable")</f>
        <v>lancer</v>
      </c>
      <c r="C516" s="23" t="s">
        <v>8489</v>
      </c>
      <c r="I516" s="23" t="s">
        <v>8490</v>
      </c>
    </row>
    <row r="517" spans="1:9" x14ac:dyDescent="0.35">
      <c r="A517" s="23" t="s">
        <v>5326</v>
      </c>
      <c r="B517" s="42" t="str">
        <f>IFERROR(INDEX(Mots!$B:$B,MATCH($A517,Mots!$A:$A,0)),"introuvable")</f>
        <v>laver</v>
      </c>
      <c r="C517" s="23" t="s">
        <v>8491</v>
      </c>
      <c r="I517" s="23" t="s">
        <v>8492</v>
      </c>
    </row>
    <row r="518" spans="1:9" x14ac:dyDescent="0.35">
      <c r="A518" s="23" t="s">
        <v>6368</v>
      </c>
      <c r="B518" s="42" t="str">
        <f>IFERROR(INDEX(Mots!$B:$B,MATCH($A518,Mots!$A:$A,0)),"introuvable")</f>
        <v>soigner</v>
      </c>
      <c r="C518" s="23" t="s">
        <v>8493</v>
      </c>
      <c r="I518" s="23" t="s">
        <v>8494</v>
      </c>
    </row>
    <row r="519" spans="1:9" x14ac:dyDescent="0.35">
      <c r="A519" s="23" t="s">
        <v>6758</v>
      </c>
      <c r="B519" s="42" t="str">
        <f>IFERROR(INDEX(Mots!$B:$B,MATCH($A519,Mots!$A:$A,0)),"introuvable")</f>
        <v>lever</v>
      </c>
      <c r="C519" s="23" t="s">
        <v>8495</v>
      </c>
      <c r="I519" s="23" t="s">
        <v>8496</v>
      </c>
    </row>
    <row r="520" spans="1:9" x14ac:dyDescent="0.35">
      <c r="A520" s="23" t="s">
        <v>6914</v>
      </c>
      <c r="B520" s="42" t="str">
        <f>IFERROR(INDEX(Mots!$B:$B,MATCH($A520,Mots!$A:$A,0)),"introuvable")</f>
        <v>manger</v>
      </c>
      <c r="C520" s="23" t="s">
        <v>8497</v>
      </c>
      <c r="I520" s="23" t="s">
        <v>8498</v>
      </c>
    </row>
    <row r="521" spans="1:9" x14ac:dyDescent="0.35">
      <c r="A521" s="23" t="s">
        <v>6922</v>
      </c>
      <c r="B521" s="42" t="str">
        <f>IFERROR(INDEX(Mots!$B:$B,MATCH($A521,Mots!$A:$A,0)),"introuvable")</f>
        <v>marcher</v>
      </c>
      <c r="C521" s="23" t="s">
        <v>8499</v>
      </c>
      <c r="I521" s="23" t="s">
        <v>8500</v>
      </c>
    </row>
    <row r="522" spans="1:9" x14ac:dyDescent="0.35">
      <c r="A522" s="23" t="s">
        <v>6933</v>
      </c>
      <c r="B522" s="42" t="str">
        <f>IFERROR(INDEX(Mots!$B:$B,MATCH($A522,Mots!$A:$A,0)),"introuvable")</f>
        <v>mentir</v>
      </c>
      <c r="C522" s="23" t="s">
        <v>8501</v>
      </c>
    </row>
    <row r="523" spans="1:9" x14ac:dyDescent="0.35">
      <c r="A523" s="23" t="s">
        <v>6943</v>
      </c>
      <c r="B523" s="42" t="str">
        <f>IFERROR(INDEX(Mots!$B:$B,MATCH($A523,Mots!$A:$A,0)),"introuvable")</f>
        <v>montrer</v>
      </c>
      <c r="C523" s="23" t="s">
        <v>8502</v>
      </c>
      <c r="I523" s="23" t="s">
        <v>8503</v>
      </c>
    </row>
    <row r="524" spans="1:9" x14ac:dyDescent="0.35">
      <c r="A524" s="23" t="s">
        <v>6950</v>
      </c>
      <c r="B524" s="42" t="str">
        <f>IFERROR(INDEX(Mots!$B:$B,MATCH($A524,Mots!$A:$A,0)),"introuvable")</f>
        <v>nager</v>
      </c>
      <c r="C524" s="23" t="s">
        <v>8504</v>
      </c>
      <c r="I524" s="23" t="s">
        <v>8505</v>
      </c>
    </row>
    <row r="525" spans="1:9" x14ac:dyDescent="0.35">
      <c r="A525" s="23" t="s">
        <v>6958</v>
      </c>
      <c r="B525" s="42" t="str">
        <f>IFERROR(INDEX(Mots!$B:$B,MATCH($A525,Mots!$A:$A,0)),"introuvable")</f>
        <v>nettoyer</v>
      </c>
      <c r="C525" s="23" t="s">
        <v>8506</v>
      </c>
      <c r="I525" s="23" t="s">
        <v>8507</v>
      </c>
    </row>
    <row r="526" spans="1:9" x14ac:dyDescent="0.35">
      <c r="A526" s="23" t="s">
        <v>6977</v>
      </c>
      <c r="B526" s="42" t="str">
        <f>IFERROR(INDEX(Mots!$B:$B,MATCH($A526,Mots!$A:$A,0)),"introuvable")</f>
        <v>ordonner</v>
      </c>
      <c r="C526" s="23" t="s">
        <v>8508</v>
      </c>
    </row>
    <row r="527" spans="1:9" x14ac:dyDescent="0.35">
      <c r="A527" s="23" t="s">
        <v>6981</v>
      </c>
      <c r="B527" s="42" t="str">
        <f>IFERROR(INDEX(Mots!$B:$B,MATCH($A527,Mots!$A:$A,0)),"introuvable")</f>
        <v>oublier</v>
      </c>
      <c r="C527" s="23" t="s">
        <v>8509</v>
      </c>
      <c r="I527" s="23" t="s">
        <v>8510</v>
      </c>
    </row>
    <row r="528" spans="1:9" x14ac:dyDescent="0.35">
      <c r="A528" s="23" t="s">
        <v>6985</v>
      </c>
      <c r="B528" s="42" t="str">
        <f>IFERROR(INDEX(Mots!$B:$B,MATCH($A528,Mots!$A:$A,0)),"introuvable")</f>
        <v>ouvrir</v>
      </c>
      <c r="C528" s="23" t="s">
        <v>8511</v>
      </c>
      <c r="I528" s="23" t="s">
        <v>8512</v>
      </c>
    </row>
    <row r="529" spans="1:9" x14ac:dyDescent="0.35">
      <c r="A529" s="23" t="s">
        <v>6994</v>
      </c>
      <c r="B529" s="42" t="str">
        <f>IFERROR(INDEX(Mots!$B:$B,MATCH($A529,Mots!$A:$A,0)),"introuvable")</f>
        <v>parler</v>
      </c>
      <c r="C529" s="23" t="s">
        <v>8513</v>
      </c>
      <c r="I529" s="23" t="s">
        <v>8514</v>
      </c>
    </row>
    <row r="530" spans="1:9" x14ac:dyDescent="0.35">
      <c r="A530" s="23" t="s">
        <v>7003</v>
      </c>
      <c r="B530" s="42" t="str">
        <f>IFERROR(INDEX(Mots!$B:$B,MATCH($A530,Mots!$A:$A,0)),"introuvable")</f>
        <v>partir</v>
      </c>
      <c r="C530" s="23" t="s">
        <v>8515</v>
      </c>
      <c r="I530" s="23" t="s">
        <v>8516</v>
      </c>
    </row>
    <row r="531" spans="1:9" x14ac:dyDescent="0.35">
      <c r="A531" s="23" t="s">
        <v>7014</v>
      </c>
      <c r="B531" s="42" t="str">
        <f>IFERROR(INDEX(Mots!$B:$B,MATCH($A531,Mots!$A:$A,0)),"introuvable")</f>
        <v>payer</v>
      </c>
      <c r="C531" s="23" t="s">
        <v>8517</v>
      </c>
      <c r="I531" s="23" t="s">
        <v>8518</v>
      </c>
    </row>
    <row r="532" spans="1:9" x14ac:dyDescent="0.35">
      <c r="A532" s="23" t="s">
        <v>7026</v>
      </c>
      <c r="B532" s="42" t="str">
        <f>IFERROR(INDEX(Mots!$B:$B,MATCH($A532,Mots!$A:$A,0)),"introuvable")</f>
        <v>penser</v>
      </c>
      <c r="C532" s="23" t="s">
        <v>8519</v>
      </c>
      <c r="I532" s="23" t="s">
        <v>8520</v>
      </c>
    </row>
    <row r="533" spans="1:9" x14ac:dyDescent="0.35">
      <c r="A533" s="23" t="s">
        <v>7030</v>
      </c>
      <c r="B533" s="42" t="str">
        <f>IFERROR(INDEX(Mots!$B:$B,MATCH($A533,Mots!$A:$A,0)),"introuvable")</f>
        <v>perdre</v>
      </c>
      <c r="C533" s="23" t="s">
        <v>8521</v>
      </c>
      <c r="I533" s="23" t="s">
        <v>8522</v>
      </c>
    </row>
    <row r="534" spans="1:9" x14ac:dyDescent="0.35">
      <c r="A534" s="23" t="s">
        <v>7042</v>
      </c>
      <c r="B534" s="42" t="str">
        <f>IFERROR(INDEX(Mots!$B:$B,MATCH($A534,Mots!$A:$A,0)),"introuvable")</f>
        <v>plaindre</v>
      </c>
      <c r="C534" s="23" t="s">
        <v>8523</v>
      </c>
    </row>
    <row r="535" spans="1:9" x14ac:dyDescent="0.35">
      <c r="A535" s="23" t="s">
        <v>7046</v>
      </c>
      <c r="B535" s="42" t="str">
        <f>IFERROR(INDEX(Mots!$B:$B,MATCH($A535,Mots!$A:$A,0)),"introuvable")</f>
        <v>pleurer</v>
      </c>
      <c r="C535" s="23" t="s">
        <v>8524</v>
      </c>
    </row>
    <row r="536" spans="1:9" x14ac:dyDescent="0.35">
      <c r="A536" s="23" t="s">
        <v>7056</v>
      </c>
      <c r="B536" s="42" t="str">
        <f>IFERROR(INDEX(Mots!$B:$B,MATCH($A536,Mots!$A:$A,0)),"introuvable")</f>
        <v>porter</v>
      </c>
      <c r="C536" s="23" t="s">
        <v>8525</v>
      </c>
      <c r="I536" s="23" t="s">
        <v>8526</v>
      </c>
    </row>
    <row r="537" spans="1:9" x14ac:dyDescent="0.35">
      <c r="A537" s="23" t="s">
        <v>7077</v>
      </c>
      <c r="B537" s="42" t="str">
        <f>IFERROR(INDEX(Mots!$B:$B,MATCH($A537,Mots!$A:$A,0)),"introuvable")</f>
        <v>pousser</v>
      </c>
      <c r="C537" s="23" t="s">
        <v>8527</v>
      </c>
      <c r="I537" s="23" t="s">
        <v>8528</v>
      </c>
    </row>
    <row r="538" spans="1:9" x14ac:dyDescent="0.35">
      <c r="A538" s="23" t="s">
        <v>7107</v>
      </c>
      <c r="B538" s="42" t="str">
        <f>IFERROR(INDEX(Mots!$B:$B,MATCH($A538,Mots!$A:$A,0)),"introuvable")</f>
        <v>préparer</v>
      </c>
      <c r="C538" s="23" t="s">
        <v>8529</v>
      </c>
      <c r="I538" s="23" t="s">
        <v>8530</v>
      </c>
    </row>
    <row r="539" spans="1:9" x14ac:dyDescent="0.35">
      <c r="A539" s="23" t="s">
        <v>7123</v>
      </c>
      <c r="B539" s="42" t="str">
        <f>IFERROR(INDEX(Mots!$B:$B,MATCH($A539,Mots!$A:$A,0)),"introuvable")</f>
        <v>prévenir</v>
      </c>
      <c r="C539" s="23" t="s">
        <v>8531</v>
      </c>
      <c r="I539" s="23" t="s">
        <v>8532</v>
      </c>
    </row>
    <row r="540" spans="1:9" x14ac:dyDescent="0.35">
      <c r="A540" s="23" t="s">
        <v>7131</v>
      </c>
      <c r="B540" s="42" t="str">
        <f>IFERROR(INDEX(Mots!$B:$B,MATCH($A540,Mots!$A:$A,0)),"introuvable")</f>
        <v>promettre</v>
      </c>
      <c r="C540" s="23" t="s">
        <v>8533</v>
      </c>
      <c r="I540" s="23" t="s">
        <v>8534</v>
      </c>
    </row>
    <row r="541" spans="1:9" x14ac:dyDescent="0.35">
      <c r="A541" s="23" t="s">
        <v>7135</v>
      </c>
      <c r="B541" s="42" t="str">
        <f>IFERROR(INDEX(Mots!$B:$B,MATCH($A541,Mots!$A:$A,0)),"introuvable")</f>
        <v>raconter</v>
      </c>
      <c r="C541" s="23" t="s">
        <v>8535</v>
      </c>
      <c r="I541" s="23" t="s">
        <v>8536</v>
      </c>
    </row>
    <row r="542" spans="1:9" x14ac:dyDescent="0.35">
      <c r="A542" s="23" t="s">
        <v>7139</v>
      </c>
      <c r="B542" s="42" t="str">
        <f>IFERROR(INDEX(Mots!$B:$B,MATCH($A542,Mots!$A:$A,0)),"introuvable")</f>
        <v>ramasser</v>
      </c>
      <c r="C542" s="23" t="s">
        <v>8537</v>
      </c>
      <c r="I542" s="23" t="s">
        <v>8538</v>
      </c>
    </row>
    <row r="543" spans="1:9" x14ac:dyDescent="0.35">
      <c r="A543" s="23" t="s">
        <v>7153</v>
      </c>
      <c r="B543" s="42" t="str">
        <f>IFERROR(INDEX(Mots!$B:$B,MATCH($A543,Mots!$A:$A,0)),"introuvable")</f>
        <v>rappeler</v>
      </c>
      <c r="C543" s="23" t="s">
        <v>8539</v>
      </c>
      <c r="I543" s="23" t="s">
        <v>8540</v>
      </c>
    </row>
    <row r="544" spans="1:9" x14ac:dyDescent="0.35">
      <c r="A544" s="23" t="s">
        <v>7160</v>
      </c>
      <c r="B544" s="42" t="str">
        <f>IFERROR(INDEX(Mots!$B:$B,MATCH($A544,Mots!$A:$A,0)),"introuvable")</f>
        <v>réfléchir</v>
      </c>
      <c r="C544" s="23" t="s">
        <v>8541</v>
      </c>
      <c r="I544" s="23" t="s">
        <v>8542</v>
      </c>
    </row>
    <row r="545" spans="1:9" x14ac:dyDescent="0.35">
      <c r="A545" s="23" t="s">
        <v>7164</v>
      </c>
      <c r="B545" s="42" t="str">
        <f>IFERROR(INDEX(Mots!$B:$B,MATCH($A545,Mots!$A:$A,0)),"introuvable")</f>
        <v>refuser</v>
      </c>
      <c r="C545" s="23" t="s">
        <v>8543</v>
      </c>
      <c r="I545" s="23" t="s">
        <v>8544</v>
      </c>
    </row>
    <row r="546" spans="1:9" x14ac:dyDescent="0.35">
      <c r="A546" s="23" t="s">
        <v>7170</v>
      </c>
      <c r="B546" s="42" t="str">
        <f>IFERROR(INDEX(Mots!$B:$B,MATCH($A546,Mots!$A:$A,0)),"introuvable")</f>
        <v>regarder</v>
      </c>
      <c r="C546" s="23" t="s">
        <v>8545</v>
      </c>
      <c r="I546" s="23" t="s">
        <v>8546</v>
      </c>
    </row>
    <row r="547" spans="1:9" x14ac:dyDescent="0.35">
      <c r="A547" s="23" t="s">
        <v>7185</v>
      </c>
      <c r="B547" s="42" t="str">
        <f>IFERROR(INDEX(Mots!$B:$B,MATCH($A547,Mots!$A:$A,0)),"introuvable")</f>
        <v>remarquer</v>
      </c>
      <c r="C547" s="23" t="s">
        <v>8547</v>
      </c>
    </row>
    <row r="548" spans="1:9" x14ac:dyDescent="0.35">
      <c r="A548" s="23" t="s">
        <v>7190</v>
      </c>
      <c r="B548" s="42" t="str">
        <f>IFERROR(INDEX(Mots!$B:$B,MATCH($A548,Mots!$A:$A,0)),"introuvable")</f>
        <v>remercier</v>
      </c>
      <c r="C548" s="23" t="s">
        <v>8548</v>
      </c>
      <c r="I548" s="23" t="s">
        <v>8549</v>
      </c>
    </row>
    <row r="549" spans="1:9" x14ac:dyDescent="0.35">
      <c r="A549" s="23" t="s">
        <v>7206</v>
      </c>
      <c r="B549" s="42" t="str">
        <f>IFERROR(INDEX(Mots!$B:$B,MATCH($A549,Mots!$A:$A,0)),"introuvable")</f>
        <v>répéter</v>
      </c>
      <c r="C549" s="23" t="s">
        <v>8550</v>
      </c>
      <c r="I549" s="23" t="s">
        <v>8551</v>
      </c>
    </row>
    <row r="550" spans="1:9" x14ac:dyDescent="0.35">
      <c r="A550" s="23" t="s">
        <v>7212</v>
      </c>
      <c r="B550" s="42" t="str">
        <f>IFERROR(INDEX(Mots!$B:$B,MATCH($A550,Mots!$A:$A,0)),"introuvable")</f>
        <v>répondre</v>
      </c>
      <c r="C550" s="23" t="s">
        <v>8552</v>
      </c>
      <c r="I550" s="23" t="s">
        <v>8553</v>
      </c>
    </row>
    <row r="551" spans="1:9" x14ac:dyDescent="0.35">
      <c r="A551" s="23" t="s">
        <v>7221</v>
      </c>
      <c r="B551" s="42" t="str">
        <f>IFERROR(INDEX(Mots!$B:$B,MATCH($A551,Mots!$A:$A,0)),"introuvable")</f>
        <v>rester</v>
      </c>
      <c r="C551" s="23" t="s">
        <v>8554</v>
      </c>
      <c r="I551" s="23" t="s">
        <v>8555</v>
      </c>
    </row>
    <row r="552" spans="1:9" x14ac:dyDescent="0.35">
      <c r="A552" s="23" t="s">
        <v>7227</v>
      </c>
      <c r="B552" s="42" t="str">
        <f>IFERROR(INDEX(Mots!$B:$B,MATCH($A552,Mots!$A:$A,0)),"introuvable")</f>
        <v>réussir</v>
      </c>
      <c r="C552" s="23" t="s">
        <v>8556</v>
      </c>
      <c r="I552" s="23" t="s">
        <v>8557</v>
      </c>
    </row>
    <row r="553" spans="1:9" x14ac:dyDescent="0.35">
      <c r="A553" s="23" t="s">
        <v>7231</v>
      </c>
      <c r="B553" s="42" t="str">
        <f>IFERROR(INDEX(Mots!$B:$B,MATCH($A553,Mots!$A:$A,0)),"introuvable")</f>
        <v>rire</v>
      </c>
      <c r="C553" s="23" t="s">
        <v>8558</v>
      </c>
    </row>
    <row r="554" spans="1:9" x14ac:dyDescent="0.35">
      <c r="A554" s="23" t="s">
        <v>7253</v>
      </c>
      <c r="B554" s="42" t="str">
        <f>IFERROR(INDEX(Mots!$B:$B,MATCH($A554,Mots!$A:$A,0)),"introuvable")</f>
        <v>saluer</v>
      </c>
      <c r="C554" s="23" t="s">
        <v>8559</v>
      </c>
      <c r="I554" s="23" t="s">
        <v>8560</v>
      </c>
    </row>
    <row r="555" spans="1:9" x14ac:dyDescent="0.35">
      <c r="A555" s="23" t="s">
        <v>7261</v>
      </c>
      <c r="B555" s="42" t="str">
        <f>IFERROR(INDEX(Mots!$B:$B,MATCH($A555,Mots!$A:$A,0)),"introuvable")</f>
        <v>s'asseoir</v>
      </c>
      <c r="C555" s="23" t="s">
        <v>8561</v>
      </c>
      <c r="I555" s="23" t="s">
        <v>8562</v>
      </c>
    </row>
    <row r="556" spans="1:9" x14ac:dyDescent="0.35">
      <c r="A556" s="23" t="s">
        <v>7268</v>
      </c>
      <c r="B556" s="42" t="str">
        <f>IFERROR(INDEX(Mots!$B:$B,MATCH($A556,Mots!$A:$A,0)),"introuvable")</f>
        <v>sauter</v>
      </c>
      <c r="C556" s="23" t="s">
        <v>8563</v>
      </c>
    </row>
    <row r="557" spans="1:9" x14ac:dyDescent="0.35">
      <c r="A557" s="23" t="s">
        <v>7278</v>
      </c>
      <c r="B557" s="42" t="str">
        <f>IFERROR(INDEX(Mots!$B:$B,MATCH($A557,Mots!$A:$A,0)),"introuvable")</f>
        <v>savoir</v>
      </c>
      <c r="C557" s="23" t="s">
        <v>8564</v>
      </c>
      <c r="I557" s="23" t="s">
        <v>8565</v>
      </c>
    </row>
    <row r="558" spans="1:9" x14ac:dyDescent="0.35">
      <c r="A558" s="23" t="s">
        <v>7282</v>
      </c>
      <c r="B558" s="42" t="str">
        <f>IFERROR(INDEX(Mots!$B:$B,MATCH($A558,Mots!$A:$A,0)),"introuvable")</f>
        <v>se souvenir</v>
      </c>
      <c r="C558" s="23" t="s">
        <v>8566</v>
      </c>
      <c r="I558" s="23" t="s">
        <v>8567</v>
      </c>
    </row>
    <row r="559" spans="1:9" x14ac:dyDescent="0.35">
      <c r="A559" s="23" t="s">
        <v>7286</v>
      </c>
      <c r="B559" s="42" t="str">
        <f>IFERROR(INDEX(Mots!$B:$B,MATCH($A559,Mots!$A:$A,0)),"introuvable")</f>
        <v>sentir</v>
      </c>
      <c r="C559" s="23" t="s">
        <v>8568</v>
      </c>
      <c r="I559" s="23" t="s">
        <v>8569</v>
      </c>
    </row>
    <row r="560" spans="1:9" x14ac:dyDescent="0.35">
      <c r="A560" s="23" t="s">
        <v>7307</v>
      </c>
      <c r="B560" s="42" t="str">
        <f>IFERROR(INDEX(Mots!$B:$B,MATCH($A560,Mots!$A:$A,0)),"introuvable")</f>
        <v>sortir</v>
      </c>
      <c r="C560" s="23" t="s">
        <v>8570</v>
      </c>
      <c r="I560" s="23" t="s">
        <v>8571</v>
      </c>
    </row>
    <row r="561" spans="1:9" x14ac:dyDescent="0.35">
      <c r="A561" s="23" t="s">
        <v>7327</v>
      </c>
      <c r="B561" s="42" t="str">
        <f>IFERROR(INDEX(Mots!$B:$B,MATCH($A561,Mots!$A:$A,0)),"introuvable")</f>
        <v>supplier</v>
      </c>
      <c r="C561" s="23" t="s">
        <v>8572</v>
      </c>
    </row>
    <row r="562" spans="1:9" x14ac:dyDescent="0.35">
      <c r="A562" s="23" t="s">
        <v>7333</v>
      </c>
      <c r="B562" s="42" t="str">
        <f>IFERROR(INDEX(Mots!$B:$B,MATCH($A562,Mots!$A:$A,0)),"introuvable")</f>
        <v>tenir</v>
      </c>
      <c r="C562" s="23" t="s">
        <v>8573</v>
      </c>
      <c r="I562" s="23" t="s">
        <v>8574</v>
      </c>
    </row>
    <row r="563" spans="1:9" x14ac:dyDescent="0.35">
      <c r="A563" s="23" t="s">
        <v>7343</v>
      </c>
      <c r="B563" s="42" t="str">
        <f>IFERROR(INDEX(Mots!$B:$B,MATCH($A563,Mots!$A:$A,0)),"introuvable")</f>
        <v>tirer</v>
      </c>
      <c r="C563" s="23" t="s">
        <v>8575</v>
      </c>
      <c r="I563" s="23" t="s">
        <v>8576</v>
      </c>
    </row>
    <row r="564" spans="1:9" x14ac:dyDescent="0.35">
      <c r="A564" s="23" t="s">
        <v>7351</v>
      </c>
      <c r="B564" s="42" t="str">
        <f>IFERROR(INDEX(Mots!$B:$B,MATCH($A564,Mots!$A:$A,0)),"introuvable")</f>
        <v>tomber</v>
      </c>
      <c r="C564" s="23" t="s">
        <v>8577</v>
      </c>
      <c r="I564" s="23" t="s">
        <v>8578</v>
      </c>
    </row>
    <row r="565" spans="1:9" x14ac:dyDescent="0.35">
      <c r="A565" s="23" t="s">
        <v>7358</v>
      </c>
      <c r="B565" s="42" t="str">
        <f>IFERROR(INDEX(Mots!$B:$B,MATCH($A565,Mots!$A:$A,0)),"introuvable")</f>
        <v>toucher</v>
      </c>
      <c r="C565" s="23" t="s">
        <v>8579</v>
      </c>
    </row>
    <row r="566" spans="1:9" x14ac:dyDescent="0.35">
      <c r="A566" s="23" t="s">
        <v>7374</v>
      </c>
      <c r="B566" s="42" t="str">
        <f>IFERROR(INDEX(Mots!$B:$B,MATCH($A566,Mots!$A:$A,0)),"introuvable")</f>
        <v>travailler</v>
      </c>
      <c r="C566" s="23" t="s">
        <v>8580</v>
      </c>
      <c r="I566" s="23" t="s">
        <v>8581</v>
      </c>
    </row>
    <row r="567" spans="1:9" x14ac:dyDescent="0.35">
      <c r="A567" s="23" t="s">
        <v>7385</v>
      </c>
      <c r="B567" s="42" t="str">
        <f>IFERROR(INDEX(Mots!$B:$B,MATCH($A567,Mots!$A:$A,0)),"introuvable")</f>
        <v>trouver</v>
      </c>
      <c r="C567" s="23" t="s">
        <v>8582</v>
      </c>
      <c r="I567" s="23" t="s">
        <v>8583</v>
      </c>
    </row>
    <row r="568" spans="1:9" x14ac:dyDescent="0.35">
      <c r="A568" s="23" t="s">
        <v>7400</v>
      </c>
      <c r="B568" s="42" t="str">
        <f>IFERROR(INDEX(Mots!$B:$B,MATCH($A568,Mots!$A:$A,0)),"introuvable")</f>
        <v>vendre</v>
      </c>
      <c r="C568" s="23" t="s">
        <v>8584</v>
      </c>
      <c r="I568" s="23" t="s">
        <v>8585</v>
      </c>
    </row>
    <row r="569" spans="1:9" x14ac:dyDescent="0.35">
      <c r="A569" s="23" t="s">
        <v>7405</v>
      </c>
      <c r="B569" s="42" t="str">
        <f>IFERROR(INDEX(Mots!$B:$B,MATCH($A569,Mots!$A:$A,0)),"introuvable")</f>
        <v>venir</v>
      </c>
      <c r="C569" s="23" t="s">
        <v>8586</v>
      </c>
      <c r="I569" s="23" t="s">
        <v>8587</v>
      </c>
    </row>
    <row r="570" spans="1:9" x14ac:dyDescent="0.35">
      <c r="A570" s="23" t="s">
        <v>7425</v>
      </c>
      <c r="B570" s="42" t="str">
        <f>IFERROR(INDEX(Mots!$B:$B,MATCH($A570,Mots!$A:$A,0)),"introuvable")</f>
        <v>voir</v>
      </c>
      <c r="C570" s="23" t="s">
        <v>8588</v>
      </c>
      <c r="I570" s="23" t="s">
        <v>8589</v>
      </c>
    </row>
    <row r="571" spans="1:9" x14ac:dyDescent="0.35">
      <c r="A571" s="23" t="s">
        <v>7432</v>
      </c>
      <c r="B571" s="42" t="str">
        <f>IFERROR(INDEX(Mots!$B:$B,MATCH($A571,Mots!$A:$A,0)),"introuvable")</f>
        <v>voler</v>
      </c>
      <c r="C571" s="23" t="s">
        <v>8590</v>
      </c>
      <c r="I571" s="23" t="s">
        <v>8591</v>
      </c>
    </row>
    <row r="572" spans="1:9" x14ac:dyDescent="0.35">
      <c r="A572" s="23" t="s">
        <v>7436</v>
      </c>
      <c r="B572" s="42" t="str">
        <f>IFERROR(INDEX(Mots!$B:$B,MATCH($A572,Mots!$A:$A,0)),"introuvable")</f>
        <v>vouloir</v>
      </c>
      <c r="C572" s="23" t="s">
        <v>8592</v>
      </c>
      <c r="I572" s="23" t="s">
        <v>8593</v>
      </c>
    </row>
    <row r="573" spans="1:9" x14ac:dyDescent="0.35">
      <c r="A573" s="23" t="s">
        <v>7501</v>
      </c>
      <c r="B573" s="42" t="str">
        <f>IFERROR(INDEX(Mots!$B:$B,MATCH($A573,Mots!$A:$A,0)),"introuvable")</f>
        <v>récurrer</v>
      </c>
      <c r="C573" s="23" t="s">
        <v>8594</v>
      </c>
      <c r="I573" s="23" t="s">
        <v>8595</v>
      </c>
    </row>
    <row r="574" spans="1:9" x14ac:dyDescent="0.35">
      <c r="A574" s="23" t="s">
        <v>7527</v>
      </c>
      <c r="B574" s="42" t="str">
        <f>IFERROR(INDEX(Mots!$B:$B,MATCH($A574,Mots!$A:$A,0)),"introuvable")</f>
        <v>tousser</v>
      </c>
      <c r="C574" s="23" t="s">
        <v>8596</v>
      </c>
      <c r="I574" s="23" t="s">
        <v>8597</v>
      </c>
    </row>
    <row r="575" spans="1:9" x14ac:dyDescent="0.35">
      <c r="A575" s="23" t="s">
        <v>7597</v>
      </c>
      <c r="B575" s="42" t="str">
        <f>IFERROR(INDEX(Mots!$B:$B,MATCH($A575,Mots!$A:$A,0)),"introuvable")</f>
        <v>habiter</v>
      </c>
      <c r="C575" s="23" t="s">
        <v>8598</v>
      </c>
      <c r="I575" s="23" t="s">
        <v>8599</v>
      </c>
    </row>
    <row r="576" spans="1:9" x14ac:dyDescent="0.35">
      <c r="A576" s="23" t="s">
        <v>7600</v>
      </c>
      <c r="B576" s="42" t="str">
        <f>IFERROR(INDEX(Mots!$B:$B,MATCH($A576,Mots!$A:$A,0)),"introuvable")</f>
        <v>éclairer</v>
      </c>
      <c r="C576" s="23" t="s">
        <v>8600</v>
      </c>
      <c r="I576" s="23" t="s">
        <v>8601</v>
      </c>
    </row>
    <row r="577" spans="1:9" x14ac:dyDescent="0.35">
      <c r="A577" s="23" t="s">
        <v>7608</v>
      </c>
      <c r="B577" s="42" t="str">
        <f>IFERROR(INDEX(Mots!$B:$B,MATCH($A577,Mots!$A:$A,0)),"introuvable")</f>
        <v>griller</v>
      </c>
      <c r="C577" s="23" t="s">
        <v>8602</v>
      </c>
      <c r="I577" s="23" t="s">
        <v>8603</v>
      </c>
    </row>
    <row r="578" spans="1:9" x14ac:dyDescent="0.35">
      <c r="A578" s="23" t="s">
        <v>7614</v>
      </c>
      <c r="B578" s="42" t="str">
        <f>IFERROR(INDEX(Mots!$B:$B,MATCH($A578,Mots!$A:$A,0)),"introuvable")</f>
        <v>conduire</v>
      </c>
      <c r="C578" s="23" t="s">
        <v>8604</v>
      </c>
      <c r="I578" s="23" t="s">
        <v>8605</v>
      </c>
    </row>
    <row r="579" spans="1:9" x14ac:dyDescent="0.35">
      <c r="A579" s="23" t="s">
        <v>7620</v>
      </c>
      <c r="B579" s="42" t="str">
        <f>IFERROR(INDEX(Mots!$B:$B,MATCH($A579,Mots!$A:$A,0)),"introuvable")</f>
        <v>traverser</v>
      </c>
      <c r="C579" s="23" t="s">
        <v>8606</v>
      </c>
      <c r="I579" s="23" t="s">
        <v>8607</v>
      </c>
    </row>
    <row r="580" spans="1:9" x14ac:dyDescent="0.35">
      <c r="A580" s="23" t="s">
        <v>7623</v>
      </c>
      <c r="B580" s="42" t="str">
        <f>IFERROR(INDEX(Mots!$B:$B,MATCH($A580,Mots!$A:$A,0)),"introuvable")</f>
        <v>avaler</v>
      </c>
      <c r="C580" s="23" t="s">
        <v>8608</v>
      </c>
      <c r="I580" s="23" t="s">
        <v>8609</v>
      </c>
    </row>
    <row r="581" spans="1:9" x14ac:dyDescent="0.35">
      <c r="A581" s="23" t="s">
        <v>7635</v>
      </c>
      <c r="B581" s="42" t="str">
        <f>IFERROR(INDEX(Mots!$B:$B,MATCH($A581,Mots!$A:$A,0)),"introuvable")</f>
        <v>chauffer</v>
      </c>
      <c r="C581" s="23" t="s">
        <v>8610</v>
      </c>
      <c r="I581" s="23" t="s">
        <v>8611</v>
      </c>
    </row>
    <row r="582" spans="1:9" x14ac:dyDescent="0.35">
      <c r="A582" s="23" t="s">
        <v>7637</v>
      </c>
      <c r="B582" s="42" t="str">
        <f>IFERROR(INDEX(Mots!$B:$B,MATCH($A582,Mots!$A:$A,0)),"introuvable")</f>
        <v>transporter</v>
      </c>
      <c r="C582" s="23" t="s">
        <v>8612</v>
      </c>
      <c r="I582" s="23" t="s">
        <v>8613</v>
      </c>
    </row>
    <row r="583" spans="1:9" x14ac:dyDescent="0.35">
      <c r="A583" s="23" t="s">
        <v>7641</v>
      </c>
      <c r="B583" s="42" t="str">
        <f>IFERROR(INDEX(Mots!$B:$B,MATCH($A583,Mots!$A:$A,0)),"introuvable")</f>
        <v>ramper</v>
      </c>
      <c r="C583" s="23" t="s">
        <v>8614</v>
      </c>
      <c r="I583" s="23" t="s">
        <v>8615</v>
      </c>
    </row>
    <row r="584" spans="1:9" x14ac:dyDescent="0.35">
      <c r="A584" s="23" t="s">
        <v>1238</v>
      </c>
      <c r="B584" s="42" t="str">
        <f>IFERROR(INDEX(Mots!$B:$B,MATCH($A584,Mots!$A:$A,0)),"introuvable")</f>
        <v>l'écureuil</v>
      </c>
      <c r="C584" s="23" t="s">
        <v>8616</v>
      </c>
    </row>
    <row r="585" spans="1:9" x14ac:dyDescent="0.35">
      <c r="A585" s="23" t="s">
        <v>1243</v>
      </c>
      <c r="B585" s="42" t="str">
        <f>IFERROR(INDEX(Mots!$B:$B,MATCH($A585,Mots!$A:$A,0)),"introuvable")</f>
        <v>la marmotte</v>
      </c>
      <c r="C585" s="23" t="s">
        <v>8617</v>
      </c>
    </row>
    <row r="586" spans="1:9" x14ac:dyDescent="0.35">
      <c r="A586" s="23" t="s">
        <v>1257</v>
      </c>
      <c r="B586" s="42" t="str">
        <f>IFERROR(INDEX(Mots!$B:$B,MATCH($A586,Mots!$A:$A,0)),"introuvable")</f>
        <v>le chamois</v>
      </c>
      <c r="C586" s="23" t="s">
        <v>8618</v>
      </c>
    </row>
    <row r="587" spans="1:9" x14ac:dyDescent="0.35">
      <c r="A587" s="23" t="s">
        <v>2300</v>
      </c>
      <c r="B587" s="42" t="str">
        <f>IFERROR(INDEX(Mots!$B:$B,MATCH($A587,Mots!$A:$A,0)),"introuvable")</f>
        <v>blanc</v>
      </c>
      <c r="C587" s="23" t="s">
        <v>8619</v>
      </c>
      <c r="I587" s="23" t="s">
        <v>8620</v>
      </c>
    </row>
    <row r="588" spans="1:9" x14ac:dyDescent="0.35">
      <c r="A588" s="23" t="s">
        <v>2305</v>
      </c>
      <c r="B588" s="42" t="str">
        <f>IFERROR(INDEX(Mots!$B:$B,MATCH($A588,Mots!$A:$A,0)),"introuvable")</f>
        <v>bleu</v>
      </c>
      <c r="C588" s="23" t="s">
        <v>8025</v>
      </c>
      <c r="I588" s="23" t="s">
        <v>8621</v>
      </c>
    </row>
    <row r="589" spans="1:9" x14ac:dyDescent="0.35">
      <c r="A589" s="23" t="s">
        <v>2309</v>
      </c>
      <c r="B589" s="42" t="str">
        <f>IFERROR(INDEX(Mots!$B:$B,MATCH($A589,Mots!$A:$A,0)),"introuvable")</f>
        <v>gris</v>
      </c>
      <c r="C589" s="23" t="s">
        <v>8622</v>
      </c>
      <c r="I589" s="23" t="s">
        <v>8623</v>
      </c>
    </row>
    <row r="590" spans="1:9" x14ac:dyDescent="0.35">
      <c r="A590" s="23" t="s">
        <v>2313</v>
      </c>
      <c r="B590" s="42" t="str">
        <f>IFERROR(INDEX(Mots!$B:$B,MATCH($A590,Mots!$A:$A,0)),"introuvable")</f>
        <v>jaune</v>
      </c>
      <c r="C590" s="23" t="s">
        <v>8624</v>
      </c>
    </row>
    <row r="591" spans="1:9" x14ac:dyDescent="0.35">
      <c r="A591" s="23" t="s">
        <v>2321</v>
      </c>
      <c r="B591" s="42" t="str">
        <f>IFERROR(INDEX(Mots!$B:$B,MATCH($A591,Mots!$A:$A,0)),"introuvable")</f>
        <v>la couleur</v>
      </c>
      <c r="C591" s="23" t="s">
        <v>8625</v>
      </c>
      <c r="I591" s="23" t="s">
        <v>8626</v>
      </c>
    </row>
    <row r="592" spans="1:9" x14ac:dyDescent="0.35">
      <c r="A592" s="23" t="s">
        <v>2342</v>
      </c>
      <c r="B592" s="42" t="str">
        <f>IFERROR(INDEX(Mots!$B:$B,MATCH($A592,Mots!$A:$A,0)),"introuvable")</f>
        <v>marron</v>
      </c>
      <c r="C592" s="23" t="s">
        <v>8627</v>
      </c>
    </row>
    <row r="593" spans="1:9" x14ac:dyDescent="0.35">
      <c r="A593" s="23" t="s">
        <v>2346</v>
      </c>
      <c r="B593" s="42" t="str">
        <f>IFERROR(INDEX(Mots!$B:$B,MATCH($A593,Mots!$A:$A,0)),"introuvable")</f>
        <v>noir</v>
      </c>
      <c r="C593" s="23" t="s">
        <v>8628</v>
      </c>
      <c r="I593" s="23" t="s">
        <v>8629</v>
      </c>
    </row>
    <row r="594" spans="1:9" x14ac:dyDescent="0.35">
      <c r="A594" s="23" t="s">
        <v>2350</v>
      </c>
      <c r="B594" s="42" t="str">
        <f>IFERROR(INDEX(Mots!$B:$B,MATCH($A594,Mots!$A:$A,0)),"introuvable")</f>
        <v>orange</v>
      </c>
      <c r="C594" s="23" t="s">
        <v>8630</v>
      </c>
    </row>
    <row r="595" spans="1:9" x14ac:dyDescent="0.35">
      <c r="A595" s="23" t="s">
        <v>2353</v>
      </c>
      <c r="B595" s="42" t="str">
        <f>IFERROR(INDEX(Mots!$B:$B,MATCH($A595,Mots!$A:$A,0)),"introuvable")</f>
        <v>rose</v>
      </c>
      <c r="C595" s="23" t="s">
        <v>8631</v>
      </c>
    </row>
    <row r="596" spans="1:9" x14ac:dyDescent="0.35">
      <c r="A596" s="23" t="s">
        <v>2357</v>
      </c>
      <c r="B596" s="42" t="str">
        <f>IFERROR(INDEX(Mots!$B:$B,MATCH($A596,Mots!$A:$A,0)),"introuvable")</f>
        <v>rouge</v>
      </c>
      <c r="C596" s="23" t="s">
        <v>8632</v>
      </c>
      <c r="I596" s="23" t="s">
        <v>8633</v>
      </c>
    </row>
    <row r="597" spans="1:9" x14ac:dyDescent="0.35">
      <c r="A597" s="23" t="s">
        <v>2361</v>
      </c>
      <c r="B597" s="42" t="str">
        <f>IFERROR(INDEX(Mots!$B:$B,MATCH($A597,Mots!$A:$A,0)),"introuvable")</f>
        <v>vert</v>
      </c>
      <c r="C597" s="23" t="s">
        <v>8634</v>
      </c>
      <c r="I597" s="23" t="s">
        <v>8635</v>
      </c>
    </row>
    <row r="598" spans="1:9" x14ac:dyDescent="0.35">
      <c r="A598" s="23" t="s">
        <v>7239</v>
      </c>
      <c r="B598" s="42" t="str">
        <f>IFERROR(INDEX(Mots!$B:$B,MATCH($A598,Mots!$A:$A,0)),"introuvable")</f>
        <v>roux</v>
      </c>
      <c r="C598" s="23" t="s">
        <v>8636</v>
      </c>
    </row>
    <row r="599" spans="1:9" x14ac:dyDescent="0.35">
      <c r="A599" s="23" t="s">
        <v>9505</v>
      </c>
      <c r="B599" s="42" t="str">
        <f>IFERROR(INDEX(Mots!$B:$B,MATCH($A599,Mots!$A:$A,0)),"introuvable")</f>
        <v>brun</v>
      </c>
      <c r="C599" s="23" t="s">
        <v>8637</v>
      </c>
    </row>
    <row r="600" spans="1:9" x14ac:dyDescent="0.35">
      <c r="A600" s="23" t="s">
        <v>2596</v>
      </c>
      <c r="B600" s="42" t="str">
        <f>IFERROR(INDEX(Mots!$B:$B,MATCH($A600,Mots!$A:$A,0)),"introuvable")</f>
        <v>carré</v>
      </c>
      <c r="C600" s="23" t="s">
        <v>8638</v>
      </c>
    </row>
    <row r="601" spans="1:9" x14ac:dyDescent="0.35">
      <c r="A601" s="23" t="s">
        <v>2600</v>
      </c>
      <c r="B601" s="42" t="str">
        <f>IFERROR(INDEX(Mots!$B:$B,MATCH($A601,Mots!$A:$A,0)),"introuvable")</f>
        <v>triangle</v>
      </c>
      <c r="C601" s="23" t="s">
        <v>8639</v>
      </c>
    </row>
    <row r="602" spans="1:9" x14ac:dyDescent="0.35">
      <c r="A602" s="23" t="s">
        <v>2604</v>
      </c>
      <c r="B602" s="42" t="str">
        <f>IFERROR(INDEX(Mots!$B:$B,MATCH($A602,Mots!$A:$A,0)),"introuvable")</f>
        <v>courbe</v>
      </c>
      <c r="C602" s="23" t="s">
        <v>8640</v>
      </c>
    </row>
    <row r="603" spans="1:9" x14ac:dyDescent="0.35">
      <c r="A603" s="23" t="s">
        <v>2607</v>
      </c>
      <c r="B603" s="42" t="str">
        <f>IFERROR(INDEX(Mots!$B:$B,MATCH($A603,Mots!$A:$A,0)),"introuvable")</f>
        <v>droit</v>
      </c>
      <c r="C603" s="23" t="s">
        <v>8641</v>
      </c>
      <c r="I603" s="23" t="s">
        <v>8642</v>
      </c>
    </row>
    <row r="604" spans="1:9" x14ac:dyDescent="0.35">
      <c r="A604" s="23" t="s">
        <v>2610</v>
      </c>
      <c r="B604" s="42" t="str">
        <f>IFERROR(INDEX(Mots!$B:$B,MATCH($A604,Mots!$A:$A,0)),"introuvable")</f>
        <v>la hauteur</v>
      </c>
      <c r="C604" s="23" t="s">
        <v>8643</v>
      </c>
      <c r="I604" s="23" t="s">
        <v>8644</v>
      </c>
    </row>
    <row r="605" spans="1:9" x14ac:dyDescent="0.35">
      <c r="A605" s="23" t="s">
        <v>2614</v>
      </c>
      <c r="B605" s="42" t="str">
        <f>IFERROR(INDEX(Mots!$B:$B,MATCH($A605,Mots!$A:$A,0)),"introuvable")</f>
        <v>la largeur</v>
      </c>
      <c r="C605" s="23" t="s">
        <v>8645</v>
      </c>
    </row>
    <row r="606" spans="1:9" x14ac:dyDescent="0.35">
      <c r="A606" s="23" t="s">
        <v>2618</v>
      </c>
      <c r="B606" s="42" t="str">
        <f>IFERROR(INDEX(Mots!$B:$B,MATCH($A606,Mots!$A:$A,0)),"introuvable")</f>
        <v>la longueur</v>
      </c>
      <c r="C606" s="23" t="s">
        <v>8646</v>
      </c>
    </row>
    <row r="607" spans="1:9" x14ac:dyDescent="0.35">
      <c r="A607" s="23" t="s">
        <v>2622</v>
      </c>
      <c r="B607" s="42" t="str">
        <f>IFERROR(INDEX(Mots!$B:$B,MATCH($A607,Mots!$A:$A,0)),"introuvable")</f>
        <v>le cercle</v>
      </c>
      <c r="C607" s="23" t="s">
        <v>8647</v>
      </c>
      <c r="I607" s="23" t="s">
        <v>8648</v>
      </c>
    </row>
    <row r="608" spans="1:9" x14ac:dyDescent="0.35">
      <c r="A608" s="23" t="s">
        <v>9589</v>
      </c>
      <c r="B608" s="42" t="str">
        <f>IFERROR(INDEX(Mots!$B:$B,MATCH($A608,Mots!$A:$A,0)),"introuvable")</f>
        <v>le rectangle</v>
      </c>
      <c r="C608" s="23" t="s">
        <v>8649</v>
      </c>
    </row>
    <row r="609" spans="1:9" x14ac:dyDescent="0.35">
      <c r="A609" s="23" t="s">
        <v>2629</v>
      </c>
      <c r="B609" s="42" t="str">
        <f>IFERROR(INDEX(Mots!$B:$B,MATCH($A609,Mots!$A:$A,0)),"introuvable")</f>
        <v>l'épaisseur</v>
      </c>
      <c r="C609" s="23" t="s">
        <v>8650</v>
      </c>
    </row>
    <row r="610" spans="1:9" x14ac:dyDescent="0.35">
      <c r="A610" s="23" t="s">
        <v>2633</v>
      </c>
      <c r="B610" s="42" t="str">
        <f>IFERROR(INDEX(Mots!$B:$B,MATCH($A610,Mots!$A:$A,0)),"introuvable")</f>
        <v>pointu</v>
      </c>
      <c r="C610" s="23" t="s">
        <v>8651</v>
      </c>
    </row>
    <row r="611" spans="1:9" x14ac:dyDescent="0.35">
      <c r="A611" s="23" t="s">
        <v>2636</v>
      </c>
      <c r="B611" s="42" t="str">
        <f>IFERROR(INDEX(Mots!$B:$B,MATCH($A611,Mots!$A:$A,0)),"introuvable")</f>
        <v>rond</v>
      </c>
      <c r="C611" s="23" t="s">
        <v>8652</v>
      </c>
    </row>
    <row r="612" spans="1:9" x14ac:dyDescent="0.35">
      <c r="A612" s="23" t="s">
        <v>3493</v>
      </c>
      <c r="B612" s="42" t="str">
        <f>IFERROR(INDEX(Mots!$B:$B,MATCH($A612,Mots!$A:$A,0)),"introuvable")</f>
        <v>arrondi</v>
      </c>
      <c r="C612" s="23" t="s">
        <v>8653</v>
      </c>
    </row>
    <row r="613" spans="1:9" x14ac:dyDescent="0.35">
      <c r="A613" s="23" t="s">
        <v>2390</v>
      </c>
      <c r="B613" s="42" t="str">
        <f>IFERROR(INDEX(Mots!$B:$B,MATCH($A613,Mots!$A:$A,0)),"introuvable")</f>
        <v>chaud  ↔  froid</v>
      </c>
      <c r="C613" s="24" t="s">
        <v>10027</v>
      </c>
      <c r="I613" s="23" t="s">
        <v>8654</v>
      </c>
    </row>
    <row r="614" spans="1:9" x14ac:dyDescent="0.35">
      <c r="A614" s="23" t="s">
        <v>2470</v>
      </c>
      <c r="B614" s="42" t="str">
        <f>IFERROR(INDEX(Mots!$B:$B,MATCH($A614,Mots!$A:$A,0)),"introuvable")</f>
        <v>grand  ↔  petit</v>
      </c>
      <c r="C614" s="24" t="s">
        <v>10028</v>
      </c>
      <c r="I614" s="23" t="s">
        <v>8655</v>
      </c>
    </row>
    <row r="615" spans="1:9" x14ac:dyDescent="0.35">
      <c r="A615" s="23" t="s">
        <v>2545</v>
      </c>
      <c r="B615" s="42" t="str">
        <f>IFERROR(INDEX(Mots!$B:$B,MATCH($A615,Mots!$A:$A,0)),"introuvable")</f>
        <v>propre  ↔  sale</v>
      </c>
      <c r="C615" s="24" t="s">
        <v>10029</v>
      </c>
      <c r="I615" s="23" t="s">
        <v>8656</v>
      </c>
    </row>
    <row r="616" spans="1:9" x14ac:dyDescent="0.35">
      <c r="A616" s="23" t="s">
        <v>2457</v>
      </c>
      <c r="B616" s="42" t="str">
        <f>IFERROR(INDEX(Mots!$B:$B,MATCH($A616,Mots!$A:$A,0)),"introuvable")</f>
        <v>fort  ↔  faible</v>
      </c>
      <c r="I616" s="23" t="s">
        <v>8657</v>
      </c>
    </row>
    <row r="617" spans="1:9" x14ac:dyDescent="0.35">
      <c r="A617" s="23" t="s">
        <v>2493</v>
      </c>
      <c r="B617" s="42" t="str">
        <f>IFERROR(INDEX(Mots!$B:$B,MATCH($A617,Mots!$A:$A,0)),"introuvable")</f>
        <v>jeune  ↔  vieux</v>
      </c>
      <c r="I617" s="23" t="s">
        <v>8658</v>
      </c>
    </row>
    <row r="618" spans="1:9" x14ac:dyDescent="0.35">
      <c r="A618" s="23" t="s">
        <v>2584</v>
      </c>
      <c r="B618" s="42" t="str">
        <f>IFERROR(INDEX(Mots!$B:$B,MATCH($A618,Mots!$A:$A,0)),"introuvable")</f>
        <v>vide  ↔  plein</v>
      </c>
      <c r="I618" s="23" t="s">
        <v>8659</v>
      </c>
    </row>
    <row r="619" spans="1:9" x14ac:dyDescent="0.35">
      <c r="A619" s="23" t="s">
        <v>2451</v>
      </c>
      <c r="B619" s="42" t="str">
        <f>IFERROR(INDEX(Mots!$B:$B,MATCH($A619,Mots!$A:$A,0)),"introuvable")</f>
        <v>fermé  ↔  ouvert</v>
      </c>
      <c r="I619" s="23" t="s">
        <v>8660</v>
      </c>
    </row>
    <row r="620" spans="1:9" x14ac:dyDescent="0.35">
      <c r="A620" s="23" t="s">
        <v>2569</v>
      </c>
      <c r="B620" s="42" t="str">
        <f>IFERROR(INDEX(Mots!$B:$B,MATCH($A620,Mots!$A:$A,0)),"introuvable")</f>
        <v>sec  ↔  mouillé</v>
      </c>
      <c r="I620" s="23" t="s">
        <v>8661</v>
      </c>
    </row>
    <row r="621" spans="1:9" x14ac:dyDescent="0.35">
      <c r="A621" s="23" t="s">
        <v>2515</v>
      </c>
      <c r="B621" s="42" t="str">
        <f>IFERROR(INDEX(Mots!$B:$B,MATCH($A621,Mots!$A:$A,0)),"introuvable")</f>
        <v>lourd  ↔  léger</v>
      </c>
      <c r="I621" s="23" t="s">
        <v>8662</v>
      </c>
    </row>
    <row r="622" spans="1:9" x14ac:dyDescent="0.35">
      <c r="A622" s="23" t="s">
        <v>2396</v>
      </c>
      <c r="B622" s="42" t="str">
        <f>IFERROR(INDEX(Mots!$B:$B,MATCH($A622,Mots!$A:$A,0)),"introuvable")</f>
        <v>cher  ↔  bon marché</v>
      </c>
      <c r="I622" s="23" t="s">
        <v>8663</v>
      </c>
    </row>
    <row r="623" spans="1:9" x14ac:dyDescent="0.35">
      <c r="A623" s="23" t="s">
        <v>2563</v>
      </c>
      <c r="B623" s="42" t="str">
        <f>IFERROR(INDEX(Mots!$B:$B,MATCH($A623,Mots!$A:$A,0)),"introuvable")</f>
        <v>sain  ↔  malade</v>
      </c>
      <c r="I623" s="23" t="s">
        <v>8664</v>
      </c>
    </row>
    <row r="624" spans="1:9" x14ac:dyDescent="0.35">
      <c r="A624" s="23" t="s">
        <v>2580</v>
      </c>
      <c r="B624" s="42" t="str">
        <f>IFERROR(INDEX(Mots!$B:$B,MATCH($A624,Mots!$A:$A,0)),"introuvable")</f>
        <v>sucré  ↔  salé</v>
      </c>
      <c r="I624" s="23" t="s">
        <v>8665</v>
      </c>
    </row>
    <row r="625" spans="1:9" x14ac:dyDescent="0.35">
      <c r="A625" s="23" t="s">
        <v>2401</v>
      </c>
      <c r="B625" s="42" t="str">
        <f>IFERROR(INDEX(Mots!$B:$B,MATCH($A625,Mots!$A:$A,0)),"introuvable")</f>
        <v>clair  ↔  sombre</v>
      </c>
      <c r="I625" s="23" t="s">
        <v>8666</v>
      </c>
    </row>
    <row r="626" spans="1:9" x14ac:dyDescent="0.35">
      <c r="A626" s="23" t="s">
        <v>2509</v>
      </c>
      <c r="B626" s="42" t="str">
        <f>IFERROR(INDEX(Mots!$B:$B,MATCH($A626,Mots!$A:$A,0)),"introuvable")</f>
        <v>long  ↔  court</v>
      </c>
      <c r="I626" s="23" t="s">
        <v>8667</v>
      </c>
    </row>
    <row r="627" spans="1:9" x14ac:dyDescent="0.35">
      <c r="A627" s="23" t="s">
        <v>2463</v>
      </c>
      <c r="B627" s="42" t="str">
        <f>IFERROR(INDEX(Mots!$B:$B,MATCH($A627,Mots!$A:$A,0)),"introuvable")</f>
        <v>gentil  ↔  méchant</v>
      </c>
      <c r="I627" s="23" t="s">
        <v>8668</v>
      </c>
    </row>
    <row r="628" spans="1:9" x14ac:dyDescent="0.35">
      <c r="A628" s="23" t="s">
        <v>2590</v>
      </c>
      <c r="B628" s="42" t="str">
        <f>IFERROR(INDEX(Mots!$B:$B,MATCH($A628,Mots!$A:$A,0)),"introuvable")</f>
        <v>vrai  ↔  faux</v>
      </c>
      <c r="I628" s="23" t="s">
        <v>8669</v>
      </c>
    </row>
    <row r="629" spans="1:9" x14ac:dyDescent="0.35">
      <c r="A629" s="23" t="s">
        <v>2374</v>
      </c>
      <c r="B629" s="42" t="str">
        <f>IFERROR(INDEX(Mots!$B:$B,MATCH($A629,Mots!$A:$A,0)),"introuvable")</f>
        <v>bon  ↔  mauvais</v>
      </c>
      <c r="I629" s="23" t="s">
        <v>8670</v>
      </c>
    </row>
    <row r="630" spans="1:9" x14ac:dyDescent="0.35">
      <c r="A630" s="23" t="s">
        <v>2384</v>
      </c>
      <c r="B630" s="42" t="str">
        <f>IFERROR(INDEX(Mots!$B:$B,MATCH($A630,Mots!$A:$A,0)),"introuvable")</f>
        <v>calme  ↔  agité (énervé)</v>
      </c>
      <c r="I630" s="23" t="s">
        <v>8671</v>
      </c>
    </row>
    <row r="631" spans="1:9" x14ac:dyDescent="0.35">
      <c r="A631" s="23" t="s">
        <v>2505</v>
      </c>
      <c r="B631" s="42" t="str">
        <f>IFERROR(INDEX(Mots!$B:$B,MATCH($A631,Mots!$A:$A,0)),"introuvable")</f>
        <v>libre  ↔  occupé</v>
      </c>
      <c r="I631" s="23" t="s">
        <v>8672</v>
      </c>
    </row>
    <row r="632" spans="1:9" x14ac:dyDescent="0.35">
      <c r="A632" s="23" t="s">
        <v>2533</v>
      </c>
      <c r="B632" s="42" t="str">
        <f>IFERROR(INDEX(Mots!$B:$B,MATCH($A632,Mots!$A:$A,0)),"introuvable")</f>
        <v>premier  ↔  dernier</v>
      </c>
      <c r="I632" s="23" t="s">
        <v>8673</v>
      </c>
    </row>
    <row r="633" spans="1:9" x14ac:dyDescent="0.35">
      <c r="A633" s="23" t="s">
        <v>2539</v>
      </c>
      <c r="B633" s="42" t="str">
        <f>IFERROR(INDEX(Mots!$B:$B,MATCH($A633,Mots!$A:$A,0)),"introuvable")</f>
        <v>proche  ↔  éloigné</v>
      </c>
      <c r="I633" s="23" t="s">
        <v>8674</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8675</v>
      </c>
    </row>
    <row r="639" spans="1:9" x14ac:dyDescent="0.35">
      <c r="A639" s="23" t="s">
        <v>2527</v>
      </c>
      <c r="B639" s="42" t="str">
        <f>IFERROR(INDEX(Mots!$B:$B,MATCH($A639,Mots!$A:$A,0)),"introuvable")</f>
        <v>nouveau  ↔  ancien</v>
      </c>
      <c r="I639" s="23" t="s">
        <v>8676</v>
      </c>
    </row>
    <row r="640" spans="1:9" x14ac:dyDescent="0.35">
      <c r="A640" s="23" t="s">
        <v>2427</v>
      </c>
      <c r="B640" s="42" t="str">
        <f>IFERROR(INDEX(Mots!$B:$B,MATCH($A640,Mots!$A:$A,0)),"introuvable")</f>
        <v>drôle  ↔  sérieux</v>
      </c>
      <c r="I640" s="23" t="s">
        <v>8677</v>
      </c>
    </row>
    <row r="641" spans="1:9" x14ac:dyDescent="0.35">
      <c r="A641" s="23" t="s">
        <v>2413</v>
      </c>
      <c r="B641" s="42" t="str">
        <f>IFERROR(INDEX(Mots!$B:$B,MATCH($A641,Mots!$A:$A,0)),"introuvable")</f>
        <v>courageux  ↔  peureux</v>
      </c>
      <c r="I641" s="23" t="s">
        <v>8678</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8679</v>
      </c>
    </row>
    <row r="646" spans="1:9" x14ac:dyDescent="0.35">
      <c r="A646" s="23" t="s">
        <v>2423</v>
      </c>
      <c r="B646" s="42" t="str">
        <f>IFERROR(INDEX(Mots!$B:$B,MATCH($A646,Mots!$A:$A,0)),"introuvable")</f>
        <v>devant  ↔  derrière</v>
      </c>
      <c r="I646" s="23" t="s">
        <v>8680</v>
      </c>
    </row>
    <row r="647" spans="1:9" x14ac:dyDescent="0.35">
      <c r="A647" s="23" t="s">
        <v>3422</v>
      </c>
      <c r="B647" s="42" t="str">
        <f>IFERROR(INDEX(Mots!$B:$B,MATCH($A647,Mots!$A:$A,0)),"introuvable")</f>
        <v>adulte</v>
      </c>
      <c r="C647" s="23" t="s">
        <v>8681</v>
      </c>
    </row>
    <row r="648" spans="1:9" x14ac:dyDescent="0.35">
      <c r="A648" s="23" t="s">
        <v>3429</v>
      </c>
      <c r="B648" s="42" t="str">
        <f>IFERROR(INDEX(Mots!$B:$B,MATCH($A648,Mots!$A:$A,0)),"introuvable")</f>
        <v>désagréable</v>
      </c>
      <c r="C648" s="23" t="s">
        <v>8682</v>
      </c>
    </row>
    <row r="649" spans="1:9" x14ac:dyDescent="0.35">
      <c r="A649" s="23" t="s">
        <v>3447</v>
      </c>
      <c r="B649" s="42" t="str">
        <f>IFERROR(INDEX(Mots!$B:$B,MATCH($A649,Mots!$A:$A,0)),"introuvable")</f>
        <v>aimable</v>
      </c>
      <c r="C649" s="23" t="s">
        <v>8683</v>
      </c>
    </row>
    <row r="650" spans="1:9" x14ac:dyDescent="0.35">
      <c r="A650" s="23" t="s">
        <v>3485</v>
      </c>
      <c r="B650" s="42" t="str">
        <f>IFERROR(INDEX(Mots!$B:$B,MATCH($A650,Mots!$A:$A,0)),"introuvable")</f>
        <v>armé</v>
      </c>
      <c r="C650" s="23" t="s">
        <v>8684</v>
      </c>
      <c r="I650" s="23" t="s">
        <v>8685</v>
      </c>
    </row>
    <row r="651" spans="1:9" x14ac:dyDescent="0.35">
      <c r="A651" s="23" t="s">
        <v>3559</v>
      </c>
      <c r="B651" s="42" t="str">
        <f>IFERROR(INDEX(Mots!$B:$B,MATCH($A651,Mots!$A:$A,0)),"introuvable")</f>
        <v>brusquement</v>
      </c>
      <c r="C651" s="23" t="s">
        <v>8686</v>
      </c>
    </row>
    <row r="652" spans="1:9" x14ac:dyDescent="0.35">
      <c r="A652" s="23" t="s">
        <v>9487</v>
      </c>
      <c r="B652" s="42" t="str">
        <f>IFERROR(INDEX(Mots!$B:$B,MATCH($A652,Mots!$A:$A,0)),"introuvable")</f>
        <v>cassé</v>
      </c>
      <c r="C652" s="23" t="s">
        <v>8687</v>
      </c>
      <c r="I652" s="23" t="s">
        <v>8688</v>
      </c>
    </row>
    <row r="653" spans="1:9" x14ac:dyDescent="0.35">
      <c r="A653" s="23" t="s">
        <v>3579</v>
      </c>
      <c r="B653" s="42" t="str">
        <f>IFERROR(INDEX(Mots!$B:$B,MATCH($A653,Mots!$A:$A,0)),"introuvable")</f>
        <v>certain</v>
      </c>
      <c r="C653" s="23" t="s">
        <v>8689</v>
      </c>
      <c r="I653" s="23" t="s">
        <v>8690</v>
      </c>
    </row>
    <row r="654" spans="1:9" x14ac:dyDescent="0.35">
      <c r="A654" s="23" t="s">
        <v>3625</v>
      </c>
      <c r="B654" s="42" t="str">
        <f>IFERROR(INDEX(Mots!$B:$B,MATCH($A654,Mots!$A:$A,0)),"introuvable")</f>
        <v>collant</v>
      </c>
      <c r="C654" s="23" t="s">
        <v>8691</v>
      </c>
    </row>
    <row r="655" spans="1:9" x14ac:dyDescent="0.35">
      <c r="A655" s="23" t="s">
        <v>9473</v>
      </c>
      <c r="B655" s="42" t="str">
        <f>IFERROR(INDEX(Mots!$B:$B,MATCH($A655,Mots!$A:$A,0)),"introuvable")</f>
        <v>colorée</v>
      </c>
      <c r="C655" s="23" t="s">
        <v>8692</v>
      </c>
    </row>
    <row r="656" spans="1:9" x14ac:dyDescent="0.35">
      <c r="A656" s="23" t="s">
        <v>3648</v>
      </c>
      <c r="B656" s="42" t="str">
        <f>IFERROR(INDEX(Mots!$B:$B,MATCH($A656,Mots!$A:$A,0)),"introuvable")</f>
        <v>complet</v>
      </c>
      <c r="C656" s="23" t="s">
        <v>8693</v>
      </c>
      <c r="I656" s="23" t="s">
        <v>8694</v>
      </c>
    </row>
    <row r="657" spans="1:9" x14ac:dyDescent="0.35">
      <c r="A657" s="23" t="s">
        <v>3666</v>
      </c>
      <c r="B657" s="42" t="str">
        <f>IFERROR(INDEX(Mots!$B:$B,MATCH($A657,Mots!$A:$A,0)),"introuvable")</f>
        <v>confortable</v>
      </c>
      <c r="C657" s="23" t="s">
        <v>8695</v>
      </c>
    </row>
    <row r="658" spans="1:9" x14ac:dyDescent="0.35">
      <c r="A658" s="23" t="s">
        <v>3687</v>
      </c>
      <c r="B658" s="42" t="str">
        <f>IFERROR(INDEX(Mots!$B:$B,MATCH($A658,Mots!$A:$A,0)),"introuvable")</f>
        <v>correct</v>
      </c>
      <c r="C658" s="23" t="s">
        <v>8696</v>
      </c>
      <c r="I658" s="23" t="s">
        <v>8697</v>
      </c>
    </row>
    <row r="659" spans="1:9" x14ac:dyDescent="0.35">
      <c r="A659" s="23" t="s">
        <v>3713</v>
      </c>
      <c r="B659" s="42" t="str">
        <f>IFERROR(INDEX(Mots!$B:$B,MATCH($A659,Mots!$A:$A,0)),"introuvable")</f>
        <v>creux</v>
      </c>
      <c r="C659" s="23" t="s">
        <v>8698</v>
      </c>
    </row>
    <row r="660" spans="1:9" x14ac:dyDescent="0.35">
      <c r="A660" s="23" t="s">
        <v>3753</v>
      </c>
      <c r="B660" s="42" t="str">
        <f>IFERROR(INDEX(Mots!$B:$B,MATCH($A660,Mots!$A:$A,0)),"introuvable")</f>
        <v>dangereux</v>
      </c>
      <c r="C660" s="23" t="s">
        <v>8699</v>
      </c>
      <c r="I660" s="23" t="s">
        <v>8700</v>
      </c>
    </row>
    <row r="661" spans="1:9" x14ac:dyDescent="0.35">
      <c r="A661" s="23" t="s">
        <v>9515</v>
      </c>
      <c r="B661" s="42" t="str">
        <f>IFERROR(INDEX(Mots!$B:$B,MATCH($A661,Mots!$A:$A,0)),"introuvable")</f>
        <v>différent</v>
      </c>
      <c r="C661" s="23" t="s">
        <v>8701</v>
      </c>
    </row>
    <row r="662" spans="1:9" x14ac:dyDescent="0.35">
      <c r="A662" s="23" t="s">
        <v>3818</v>
      </c>
      <c r="B662" s="42" t="str">
        <f>IFERROR(INDEX(Mots!$B:$B,MATCH($A662,Mots!$A:$A,0)),"introuvable")</f>
        <v>disponible</v>
      </c>
      <c r="C662" s="23" t="s">
        <v>8702</v>
      </c>
      <c r="I662" s="23" t="s">
        <v>8703</v>
      </c>
    </row>
    <row r="663" spans="1:9" x14ac:dyDescent="0.35">
      <c r="A663" s="23" t="s">
        <v>3839</v>
      </c>
      <c r="B663" s="42" t="str">
        <f>IFERROR(INDEX(Mots!$B:$B,MATCH($A663,Mots!$A:$A,0)),"introuvable")</f>
        <v>doux - douce</v>
      </c>
      <c r="C663" s="23" t="s">
        <v>8704</v>
      </c>
      <c r="I663" s="23" t="s">
        <v>8705</v>
      </c>
    </row>
    <row r="664" spans="1:9" x14ac:dyDescent="0.35">
      <c r="A664" s="23" t="s">
        <v>3873</v>
      </c>
      <c r="B664" s="42" t="str">
        <f>IFERROR(INDEX(Mots!$B:$B,MATCH($A664,Mots!$A:$A,0)),"introuvable")</f>
        <v>électrique</v>
      </c>
      <c r="C664" s="23" t="s">
        <v>8706</v>
      </c>
    </row>
    <row r="665" spans="1:9" x14ac:dyDescent="0.35">
      <c r="A665" s="23" t="s">
        <v>3891</v>
      </c>
      <c r="B665" s="42" t="str">
        <f>IFERROR(INDEX(Mots!$B:$B,MATCH($A665,Mots!$A:$A,0)),"introuvable")</f>
        <v>enflammé</v>
      </c>
      <c r="C665" s="23" t="s">
        <v>8707</v>
      </c>
      <c r="I665" s="23" t="s">
        <v>8708</v>
      </c>
    </row>
    <row r="666" spans="1:9" x14ac:dyDescent="0.35">
      <c r="A666" s="23" t="s">
        <v>3908</v>
      </c>
      <c r="B666" s="42" t="str">
        <f>IFERROR(INDEX(Mots!$B:$B,MATCH($A666,Mots!$A:$A,0)),"introuvable")</f>
        <v>entier</v>
      </c>
      <c r="C666" s="23" t="s">
        <v>8709</v>
      </c>
    </row>
    <row r="667" spans="1:9" x14ac:dyDescent="0.35">
      <c r="A667" s="23" t="s">
        <v>3920</v>
      </c>
      <c r="B667" s="42" t="str">
        <f>IFERROR(INDEX(Mots!$B:$B,MATCH($A667,Mots!$A:$A,0)),"introuvable")</f>
        <v>équitable</v>
      </c>
      <c r="C667" s="23" t="s">
        <v>8710</v>
      </c>
    </row>
    <row r="668" spans="1:9" x14ac:dyDescent="0.35">
      <c r="A668" s="23" t="s">
        <v>3930</v>
      </c>
      <c r="B668" s="42" t="str">
        <f>IFERROR(INDEX(Mots!$B:$B,MATCH($A668,Mots!$A:$A,0)),"introuvable")</f>
        <v>exact</v>
      </c>
      <c r="C668" s="23" t="s">
        <v>8711</v>
      </c>
      <c r="I668" s="23" t="s">
        <v>8712</v>
      </c>
    </row>
    <row r="669" spans="1:9" x14ac:dyDescent="0.35">
      <c r="A669" s="23" t="s">
        <v>3939</v>
      </c>
      <c r="B669" s="42" t="str">
        <f>IFERROR(INDEX(Mots!$B:$B,MATCH($A669,Mots!$A:$A,0)),"introuvable")</f>
        <v>extérieur</v>
      </c>
      <c r="C669" s="23" t="s">
        <v>8713</v>
      </c>
    </row>
    <row r="670" spans="1:9" x14ac:dyDescent="0.35">
      <c r="A670" s="23" t="s">
        <v>3946</v>
      </c>
      <c r="B670" s="42" t="str">
        <f>IFERROR(INDEX(Mots!$B:$B,MATCH($A670,Mots!$A:$A,0)),"introuvable")</f>
        <v>fatigué</v>
      </c>
      <c r="C670" s="23" t="s">
        <v>8714</v>
      </c>
      <c r="I670" s="23" t="s">
        <v>8715</v>
      </c>
    </row>
    <row r="671" spans="1:9" x14ac:dyDescent="0.35">
      <c r="A671" s="23" t="s">
        <v>3962</v>
      </c>
      <c r="B671" s="42" t="str">
        <f>IFERROR(INDEX(Mots!$B:$B,MATCH($A671,Mots!$A:$A,0)),"introuvable")</f>
        <v>féminin</v>
      </c>
      <c r="C671" s="23" t="s">
        <v>8716</v>
      </c>
    </row>
    <row r="672" spans="1:9" x14ac:dyDescent="0.35">
      <c r="A672" s="23" t="s">
        <v>3977</v>
      </c>
      <c r="B672" s="42" t="str">
        <f>IFERROR(INDEX(Mots!$B:$B,MATCH($A672,Mots!$A:$A,0)),"introuvable")</f>
        <v>frais - fraîche</v>
      </c>
      <c r="C672" s="23" t="s">
        <v>8717</v>
      </c>
      <c r="I672" s="23" t="s">
        <v>8718</v>
      </c>
    </row>
    <row r="673" spans="1:9" x14ac:dyDescent="0.35">
      <c r="A673" s="23" t="s">
        <v>4016</v>
      </c>
      <c r="B673" s="42" t="str">
        <f>IFERROR(INDEX(Mots!$B:$B,MATCH($A673,Mots!$A:$A,0)),"introuvable")</f>
        <v>gras - grasse</v>
      </c>
      <c r="C673" s="23" t="s">
        <v>8719</v>
      </c>
    </row>
    <row r="674" spans="1:9" x14ac:dyDescent="0.35">
      <c r="A674" s="23" t="s">
        <v>4021</v>
      </c>
      <c r="B674" s="42" t="str">
        <f>IFERROR(INDEX(Mots!$B:$B,MATCH($A674,Mots!$A:$A,0)),"introuvable")</f>
        <v>gratuit</v>
      </c>
      <c r="C674" s="23" t="s">
        <v>8720</v>
      </c>
      <c r="I674" s="23" t="s">
        <v>8721</v>
      </c>
    </row>
    <row r="675" spans="1:9" x14ac:dyDescent="0.35">
      <c r="A675" s="23" t="s">
        <v>4024</v>
      </c>
      <c r="B675" s="42" t="str">
        <f>IFERROR(INDEX(Mots!$B:$B,MATCH($A675,Mots!$A:$A,0)),"introuvable")</f>
        <v>habituel</v>
      </c>
      <c r="C675" s="23" t="s">
        <v>8722</v>
      </c>
      <c r="I675" s="23" t="s">
        <v>8723</v>
      </c>
    </row>
    <row r="676" spans="1:9" x14ac:dyDescent="0.35">
      <c r="A676" s="23" t="s">
        <v>9614</v>
      </c>
      <c r="B676" s="42" t="str">
        <f>IFERROR(INDEX(Mots!$B:$B,MATCH($A676,Mots!$A:$A,0)),"introuvable")</f>
        <v>heureux</v>
      </c>
      <c r="C676" s="23" t="s">
        <v>8724</v>
      </c>
      <c r="I676" s="23" t="s">
        <v>8725</v>
      </c>
    </row>
    <row r="677" spans="1:9" x14ac:dyDescent="0.35">
      <c r="A677" s="23" t="s">
        <v>4029</v>
      </c>
      <c r="B677" s="42" t="str">
        <f>IFERROR(INDEX(Mots!$B:$B,MATCH($A677,Mots!$A:$A,0)),"introuvable")</f>
        <v>humain</v>
      </c>
      <c r="C677" s="23" t="s">
        <v>8726</v>
      </c>
      <c r="I677" s="23" t="s">
        <v>8727</v>
      </c>
    </row>
    <row r="678" spans="1:9" x14ac:dyDescent="0.35">
      <c r="A678" s="23" t="s">
        <v>4044</v>
      </c>
      <c r="B678" s="42" t="str">
        <f>IFERROR(INDEX(Mots!$B:$B,MATCH($A678,Mots!$A:$A,0)),"introuvable")</f>
        <v>important</v>
      </c>
      <c r="C678" s="23" t="s">
        <v>8728</v>
      </c>
      <c r="I678" s="23" t="s">
        <v>8729</v>
      </c>
    </row>
    <row r="679" spans="1:9" x14ac:dyDescent="0.35">
      <c r="A679" s="23" t="s">
        <v>4049</v>
      </c>
      <c r="B679" s="42" t="str">
        <f>IFERROR(INDEX(Mots!$B:$B,MATCH($A679,Mots!$A:$A,0)),"introuvable")</f>
        <v>intérieur</v>
      </c>
      <c r="C679" s="23" t="s">
        <v>8730</v>
      </c>
    </row>
    <row r="680" spans="1:9" x14ac:dyDescent="0.35">
      <c r="A680" s="23" t="s">
        <v>4052</v>
      </c>
      <c r="B680" s="42" t="str">
        <f>IFERROR(INDEX(Mots!$B:$B,MATCH($A680,Mots!$A:$A,0)),"introuvable")</f>
        <v>invisible</v>
      </c>
      <c r="C680" s="23" t="s">
        <v>8731</v>
      </c>
    </row>
    <row r="681" spans="1:9" x14ac:dyDescent="0.35">
      <c r="A681" s="23" t="s">
        <v>4055</v>
      </c>
      <c r="B681" s="42" t="str">
        <f>IFERROR(INDEX(Mots!$B:$B,MATCH($A681,Mots!$A:$A,0)),"introuvable")</f>
        <v>irrité</v>
      </c>
      <c r="C681" s="23" t="s">
        <v>8732</v>
      </c>
    </row>
    <row r="682" spans="1:9" x14ac:dyDescent="0.35">
      <c r="A682" s="23" t="s">
        <v>9535</v>
      </c>
      <c r="B682" s="42" t="str">
        <f>IFERROR(INDEX(Mots!$B:$B,MATCH($A682,Mots!$A:$A,0)),"introuvable")</f>
        <v>joyeux</v>
      </c>
      <c r="C682" s="23" t="s">
        <v>8733</v>
      </c>
      <c r="I682" s="23" t="s">
        <v>8734</v>
      </c>
    </row>
    <row r="683" spans="1:9" x14ac:dyDescent="0.35">
      <c r="A683" s="23" t="s">
        <v>4075</v>
      </c>
      <c r="B683" s="42" t="str">
        <f>IFERROR(INDEX(Mots!$B:$B,MATCH($A683,Mots!$A:$A,0)),"introuvable")</f>
        <v>juste</v>
      </c>
      <c r="C683" s="23" t="s">
        <v>8735</v>
      </c>
      <c r="I683" s="23" t="s">
        <v>8736</v>
      </c>
    </row>
    <row r="684" spans="1:9" x14ac:dyDescent="0.35">
      <c r="A684" s="23" t="s">
        <v>6909</v>
      </c>
      <c r="B684" s="42" t="str">
        <f>IFERROR(INDEX(Mots!$B:$B,MATCH($A684,Mots!$A:$A,0)),"introuvable")</f>
        <v>malin</v>
      </c>
      <c r="C684" s="23" t="s">
        <v>8737</v>
      </c>
    </row>
    <row r="685" spans="1:9" x14ac:dyDescent="0.35">
      <c r="A685" s="23" t="s">
        <v>6930</v>
      </c>
      <c r="B685" s="42" t="str">
        <f>IFERROR(INDEX(Mots!$B:$B,MATCH($A685,Mots!$A:$A,0)),"introuvable")</f>
        <v>masculin</v>
      </c>
      <c r="C685" s="23" t="s">
        <v>8738</v>
      </c>
    </row>
    <row r="686" spans="1:9" x14ac:dyDescent="0.35">
      <c r="A686" s="23" t="s">
        <v>6936</v>
      </c>
      <c r="B686" s="42" t="str">
        <f>IFERROR(INDEX(Mots!$B:$B,MATCH($A686,Mots!$A:$A,0)),"introuvable")</f>
        <v>merveilleux</v>
      </c>
      <c r="C686" s="23" t="s">
        <v>8739</v>
      </c>
    </row>
    <row r="687" spans="1:9" x14ac:dyDescent="0.35">
      <c r="A687" s="23" t="s">
        <v>6966</v>
      </c>
      <c r="B687" s="42" t="str">
        <f>IFERROR(INDEX(Mots!$B:$B,MATCH($A687,Mots!$A:$A,0)),"introuvable")</f>
        <v>nombreux</v>
      </c>
      <c r="C687" s="23" t="s">
        <v>8740</v>
      </c>
    </row>
    <row r="688" spans="1:9" x14ac:dyDescent="0.35">
      <c r="A688" s="23" t="s">
        <v>6970</v>
      </c>
      <c r="B688" s="42" t="str">
        <f>IFERROR(INDEX(Mots!$B:$B,MATCH($A688,Mots!$A:$A,0)),"introuvable")</f>
        <v>nu</v>
      </c>
      <c r="C688" s="23" t="s">
        <v>8741</v>
      </c>
      <c r="I688" s="23" t="s">
        <v>8742</v>
      </c>
    </row>
    <row r="689" spans="1:9" x14ac:dyDescent="0.35">
      <c r="A689" s="23" t="s">
        <v>9516</v>
      </c>
      <c r="B689" s="42" t="str">
        <f>IFERROR(INDEX(Mots!$B:$B,MATCH($A689,Mots!$A:$A,0)),"introuvable")</f>
        <v>pareil</v>
      </c>
      <c r="C689" s="23" t="s">
        <v>8743</v>
      </c>
      <c r="I689" s="23" t="s">
        <v>8744</v>
      </c>
    </row>
    <row r="690" spans="1:9" x14ac:dyDescent="0.35">
      <c r="A690" s="23" t="s">
        <v>7011</v>
      </c>
      <c r="B690" s="42" t="str">
        <f>IFERROR(INDEX(Mots!$B:$B,MATCH($A690,Mots!$A:$A,0)),"introuvable")</f>
        <v>partout</v>
      </c>
      <c r="C690" s="23" t="s">
        <v>8745</v>
      </c>
      <c r="I690" s="23" t="s">
        <v>8746</v>
      </c>
    </row>
    <row r="691" spans="1:9" x14ac:dyDescent="0.35">
      <c r="A691" s="23" t="s">
        <v>7039</v>
      </c>
      <c r="B691" s="42" t="str">
        <f>IFERROR(INDEX(Mots!$B:$B,MATCH($A691,Mots!$A:$A,0)),"introuvable")</f>
        <v>piquant</v>
      </c>
      <c r="C691" s="23" t="s">
        <v>8747</v>
      </c>
    </row>
    <row r="692" spans="1:9" x14ac:dyDescent="0.35">
      <c r="A692" s="23" t="s">
        <v>7072</v>
      </c>
      <c r="B692" s="42" t="str">
        <f>IFERROR(INDEX(Mots!$B:$B,MATCH($A692,Mots!$A:$A,0)),"introuvable")</f>
        <v>possible</v>
      </c>
      <c r="C692" s="23" t="s">
        <v>8748</v>
      </c>
      <c r="I692" s="23" t="s">
        <v>8749</v>
      </c>
    </row>
    <row r="693" spans="1:9" x14ac:dyDescent="0.35">
      <c r="A693" s="23" t="s">
        <v>7090</v>
      </c>
      <c r="B693" s="42" t="str">
        <f>IFERROR(INDEX(Mots!$B:$B,MATCH($A693,Mots!$A:$A,0)),"introuvable")</f>
        <v>pratique</v>
      </c>
      <c r="C693" s="23" t="s">
        <v>8750</v>
      </c>
      <c r="I693" s="23" t="s">
        <v>8751</v>
      </c>
    </row>
    <row r="694" spans="1:9" x14ac:dyDescent="0.35">
      <c r="A694" s="23" t="s">
        <v>7093</v>
      </c>
      <c r="B694" s="42" t="str">
        <f>IFERROR(INDEX(Mots!$B:$B,MATCH($A694,Mots!$A:$A,0)),"introuvable")</f>
        <v>précis</v>
      </c>
      <c r="C694" s="23" t="s">
        <v>8752</v>
      </c>
    </row>
    <row r="695" spans="1:9" x14ac:dyDescent="0.35">
      <c r="A695" s="23" t="s">
        <v>7096</v>
      </c>
      <c r="B695" s="42" t="str">
        <f>IFERROR(INDEX(Mots!$B:$B,MATCH($A695,Mots!$A:$A,0)),"introuvable")</f>
        <v>préféré</v>
      </c>
      <c r="C695" s="23" t="s">
        <v>8753</v>
      </c>
      <c r="I695" s="23" t="s">
        <v>8754</v>
      </c>
    </row>
    <row r="696" spans="1:9" x14ac:dyDescent="0.35">
      <c r="A696" s="23" t="s">
        <v>7119</v>
      </c>
      <c r="B696" s="42" t="str">
        <f>IFERROR(INDEX(Mots!$B:$B,MATCH($A696,Mots!$A:$A,0)),"introuvable")</f>
        <v>prêt</v>
      </c>
      <c r="C696" s="23" t="s">
        <v>8755</v>
      </c>
      <c r="I696" s="23" t="s">
        <v>8756</v>
      </c>
    </row>
    <row r="697" spans="1:9" x14ac:dyDescent="0.35">
      <c r="A697" s="23" t="s">
        <v>7127</v>
      </c>
      <c r="B697" s="42" t="str">
        <f>IFERROR(INDEX(Mots!$B:$B,MATCH($A697,Mots!$A:$A,0)),"introuvable")</f>
        <v>profond</v>
      </c>
      <c r="C697" s="23" t="s">
        <v>8757</v>
      </c>
    </row>
    <row r="698" spans="1:9" x14ac:dyDescent="0.35">
      <c r="A698" s="23" t="s">
        <v>7157</v>
      </c>
      <c r="B698" s="42" t="str">
        <f>IFERROR(INDEX(Mots!$B:$B,MATCH($A698,Mots!$A:$A,0)),"introuvable")</f>
        <v>rarement</v>
      </c>
      <c r="C698" s="23" t="s">
        <v>8758</v>
      </c>
    </row>
    <row r="699" spans="1:9" x14ac:dyDescent="0.35">
      <c r="A699" s="23" t="s">
        <v>7182</v>
      </c>
      <c r="B699" s="42" t="str">
        <f>IFERROR(INDEX(Mots!$B:$B,MATCH($A699,Mots!$A:$A,0)),"introuvable")</f>
        <v>régulier</v>
      </c>
      <c r="C699" s="23" t="s">
        <v>8759</v>
      </c>
    </row>
    <row r="700" spans="1:9" x14ac:dyDescent="0.35">
      <c r="A700" s="23" t="s">
        <v>7218</v>
      </c>
      <c r="B700" s="42" t="str">
        <f>IFERROR(INDEX(Mots!$B:$B,MATCH($A700,Mots!$A:$A,0)),"introuvable")</f>
        <v>résistant</v>
      </c>
      <c r="C700" s="23" t="s">
        <v>8760</v>
      </c>
    </row>
    <row r="701" spans="1:9" x14ac:dyDescent="0.35">
      <c r="A701" s="23" t="s">
        <v>7246</v>
      </c>
      <c r="B701" s="42" t="str">
        <f>IFERROR(INDEX(Mots!$B:$B,MATCH($A701,Mots!$A:$A,0)),"introuvable")</f>
        <v>rude</v>
      </c>
      <c r="C701" s="23" t="s">
        <v>8761</v>
      </c>
    </row>
    <row r="702" spans="1:9" x14ac:dyDescent="0.35">
      <c r="A702" s="23" t="s">
        <v>7248</v>
      </c>
      <c r="B702" s="42" t="str">
        <f>IFERROR(INDEX(Mots!$B:$B,MATCH($A702,Mots!$A:$A,0)),"introuvable")</f>
        <v>rusé</v>
      </c>
      <c r="C702" s="23" t="s">
        <v>8762</v>
      </c>
    </row>
    <row r="703" spans="1:9" x14ac:dyDescent="0.35">
      <c r="A703" s="23" t="s">
        <v>9613</v>
      </c>
      <c r="B703" s="42" t="str">
        <f>IFERROR(INDEX(Mots!$B:$B,MATCH($A703,Mots!$A:$A,0)),"introuvable")</f>
        <v>sauvage</v>
      </c>
      <c r="C703" s="23" t="s">
        <v>8763</v>
      </c>
      <c r="I703" s="23" t="s">
        <v>8764</v>
      </c>
    </row>
    <row r="704" spans="1:9" x14ac:dyDescent="0.35">
      <c r="A704" s="23" t="s">
        <v>7302</v>
      </c>
      <c r="B704" s="42" t="str">
        <f>IFERROR(INDEX(Mots!$B:$B,MATCH($A704,Mots!$A:$A,0)),"introuvable")</f>
        <v>seul</v>
      </c>
      <c r="C704" s="23" t="s">
        <v>8765</v>
      </c>
      <c r="I704" s="23" t="s">
        <v>8766</v>
      </c>
    </row>
    <row r="705" spans="1:9" x14ac:dyDescent="0.35">
      <c r="A705" s="23" t="s">
        <v>7304</v>
      </c>
      <c r="B705" s="42" t="str">
        <f>IFERROR(INDEX(Mots!$B:$B,MATCH($A705,Mots!$A:$A,0)),"introuvable")</f>
        <v>seulement</v>
      </c>
      <c r="C705" s="23" t="s">
        <v>8767</v>
      </c>
    </row>
    <row r="706" spans="1:9" x14ac:dyDescent="0.35">
      <c r="A706" s="23" t="s">
        <v>7314</v>
      </c>
      <c r="B706" s="42" t="str">
        <f>IFERROR(INDEX(Mots!$B:$B,MATCH($A706,Mots!$A:$A,0)),"introuvable")</f>
        <v>soudain</v>
      </c>
      <c r="C706" s="23" t="s">
        <v>8768</v>
      </c>
      <c r="I706" s="23" t="s">
        <v>8769</v>
      </c>
    </row>
    <row r="707" spans="1:9" x14ac:dyDescent="0.35">
      <c r="A707" s="23" t="s">
        <v>7316</v>
      </c>
      <c r="B707" s="42" t="str">
        <f>IFERROR(INDEX(Mots!$B:$B,MATCH($A707,Mots!$A:$A,0)),"introuvable")</f>
        <v>souple</v>
      </c>
      <c r="C707" s="23" t="s">
        <v>8770</v>
      </c>
    </row>
    <row r="708" spans="1:9" x14ac:dyDescent="0.35">
      <c r="A708" s="23" t="s">
        <v>7366</v>
      </c>
      <c r="B708" s="42" t="str">
        <f>IFERROR(INDEX(Mots!$B:$B,MATCH($A708,Mots!$A:$A,0)),"introuvable")</f>
        <v>touffu</v>
      </c>
      <c r="C708" s="23" t="s">
        <v>8771</v>
      </c>
    </row>
    <row r="709" spans="1:9" x14ac:dyDescent="0.35">
      <c r="A709" s="23" t="s">
        <v>7368</v>
      </c>
      <c r="B709" s="42" t="str">
        <f>IFERROR(INDEX(Mots!$B:$B,MATCH($A709,Mots!$A:$A,0)),"introuvable")</f>
        <v>tranquille</v>
      </c>
      <c r="C709" s="23" t="s">
        <v>8772</v>
      </c>
      <c r="I709" s="23" t="s">
        <v>8773</v>
      </c>
    </row>
    <row r="710" spans="1:9" x14ac:dyDescent="0.35">
      <c r="A710" s="23" t="s">
        <v>7371</v>
      </c>
      <c r="B710" s="42" t="str">
        <f>IFERROR(INDEX(Mots!$B:$B,MATCH($A710,Mots!$A:$A,0)),"introuvable")</f>
        <v>transparent</v>
      </c>
      <c r="C710" s="23" t="s">
        <v>8774</v>
      </c>
    </row>
    <row r="711" spans="1:9" x14ac:dyDescent="0.35">
      <c r="A711" s="23" t="s">
        <v>607</v>
      </c>
      <c r="B711" s="42" t="str">
        <f>IFERROR(INDEX(Mots!$B:$B,MATCH($A711,Mots!$A:$A,0)),"introuvable")</f>
        <v>la baguette</v>
      </c>
      <c r="C711" s="23" t="s">
        <v>8775</v>
      </c>
    </row>
    <row r="712" spans="1:9" x14ac:dyDescent="0.35">
      <c r="A712" s="23" t="s">
        <v>611</v>
      </c>
      <c r="B712" s="42" t="str">
        <f>IFERROR(INDEX(Mots!$B:$B,MATCH($A712,Mots!$A:$A,0)),"introuvable")</f>
        <v>la chanson</v>
      </c>
      <c r="C712" s="23" t="s">
        <v>8776</v>
      </c>
      <c r="I712" s="23" t="s">
        <v>8419</v>
      </c>
    </row>
    <row r="713" spans="1:9" x14ac:dyDescent="0.35">
      <c r="A713" s="23" t="s">
        <v>618</v>
      </c>
      <c r="B713" s="42" t="str">
        <f>IFERROR(INDEX(Mots!$B:$B,MATCH($A713,Mots!$A:$A,0)),"introuvable")</f>
        <v>la danse</v>
      </c>
      <c r="C713" s="23" t="s">
        <v>8777</v>
      </c>
    </row>
    <row r="714" spans="1:9" x14ac:dyDescent="0.35">
      <c r="A714" s="23" t="s">
        <v>622</v>
      </c>
      <c r="B714" s="42" t="str">
        <f>IFERROR(INDEX(Mots!$B:$B,MATCH($A714,Mots!$A:$A,0)),"introuvable")</f>
        <v>la mélodie</v>
      </c>
      <c r="C714" s="23" t="s">
        <v>8778</v>
      </c>
    </row>
    <row r="715" spans="1:9" x14ac:dyDescent="0.35">
      <c r="A715" s="23" t="s">
        <v>626</v>
      </c>
      <c r="B715" s="42" t="str">
        <f>IFERROR(INDEX(Mots!$B:$B,MATCH($A715,Mots!$A:$A,0)),"introuvable")</f>
        <v>la partition</v>
      </c>
      <c r="C715" s="23" t="s">
        <v>8779</v>
      </c>
      <c r="I715" s="23" t="s">
        <v>8780</v>
      </c>
    </row>
    <row r="716" spans="1:9" x14ac:dyDescent="0.35">
      <c r="A716" s="23" t="s">
        <v>630</v>
      </c>
      <c r="B716" s="42" t="str">
        <f>IFERROR(INDEX(Mots!$B:$B,MATCH($A716,Mots!$A:$A,0)),"introuvable")</f>
        <v>la répétition</v>
      </c>
      <c r="C716" s="23" t="s">
        <v>8781</v>
      </c>
      <c r="I716" s="23" t="s">
        <v>8782</v>
      </c>
    </row>
    <row r="717" spans="1:9" x14ac:dyDescent="0.35">
      <c r="A717" s="23" t="s">
        <v>634</v>
      </c>
      <c r="B717" s="42" t="str">
        <f>IFERROR(INDEX(Mots!$B:$B,MATCH($A717,Mots!$A:$A,0)),"introuvable")</f>
        <v>la scène</v>
      </c>
      <c r="C717" s="23" t="s">
        <v>8783</v>
      </c>
      <c r="I717" s="23" t="s">
        <v>8784</v>
      </c>
    </row>
    <row r="718" spans="1:9" x14ac:dyDescent="0.35">
      <c r="A718" s="23" t="s">
        <v>642</v>
      </c>
      <c r="B718" s="42" t="str">
        <f>IFERROR(INDEX(Mots!$B:$B,MATCH($A718,Mots!$A:$A,0)),"introuvable")</f>
        <v>le concert</v>
      </c>
      <c r="C718" s="23" t="s">
        <v>8785</v>
      </c>
      <c r="I718" s="23" t="s">
        <v>8786</v>
      </c>
    </row>
    <row r="719" spans="1:9" x14ac:dyDescent="0.35">
      <c r="A719" s="23" t="s">
        <v>666</v>
      </c>
      <c r="B719" s="42" t="str">
        <f>IFERROR(INDEX(Mots!$B:$B,MATCH($A719,Mots!$A:$A,0)),"introuvable")</f>
        <v>le public</v>
      </c>
      <c r="C719" s="23" t="s">
        <v>8787</v>
      </c>
    </row>
    <row r="720" spans="1:9" x14ac:dyDescent="0.35">
      <c r="A720" s="23" t="s">
        <v>670</v>
      </c>
      <c r="B720" s="42" t="str">
        <f>IFERROR(INDEX(Mots!$B:$B,MATCH($A720,Mots!$A:$A,0)),"introuvable")</f>
        <v>le son</v>
      </c>
      <c r="C720" s="23" t="s">
        <v>8788</v>
      </c>
    </row>
    <row r="721" spans="1:9" x14ac:dyDescent="0.35">
      <c r="A721" s="23" t="s">
        <v>674</v>
      </c>
      <c r="B721" s="42" t="str">
        <f>IFERROR(INDEX(Mots!$B:$B,MATCH($A721,Mots!$A:$A,0)),"introuvable")</f>
        <v>le souffle</v>
      </c>
      <c r="C721" s="23" t="s">
        <v>8789</v>
      </c>
      <c r="I721" s="23" t="s">
        <v>8790</v>
      </c>
    </row>
    <row r="722" spans="1:9" x14ac:dyDescent="0.35">
      <c r="A722" s="23" t="s">
        <v>686</v>
      </c>
      <c r="B722" s="42" t="str">
        <f>IFERROR(INDEX(Mots!$B:$B,MATCH($A722,Mots!$A:$A,0)),"introuvable")</f>
        <v>les applaudissements</v>
      </c>
      <c r="C722" s="23" t="s">
        <v>8791</v>
      </c>
    </row>
    <row r="723" spans="1:9" x14ac:dyDescent="0.35">
      <c r="A723" s="23" t="s">
        <v>690</v>
      </c>
      <c r="B723" s="42" t="str">
        <f>IFERROR(INDEX(Mots!$B:$B,MATCH($A723,Mots!$A:$A,0)),"introuvable")</f>
        <v>les paroles</v>
      </c>
      <c r="C723" s="23" t="s">
        <v>8792</v>
      </c>
      <c r="I723" s="23" t="s">
        <v>8793</v>
      </c>
    </row>
    <row r="724" spans="1:9" x14ac:dyDescent="0.35">
      <c r="A724" s="23" t="s">
        <v>695</v>
      </c>
      <c r="B724" s="42" t="str">
        <f>IFERROR(INDEX(Mots!$B:$B,MATCH($A724,Mots!$A:$A,0)),"introuvable")</f>
        <v>l'harmonie</v>
      </c>
      <c r="C724" s="23" t="s">
        <v>8794</v>
      </c>
    </row>
    <row r="725" spans="1:9" x14ac:dyDescent="0.35">
      <c r="A725" s="23" t="s">
        <v>839</v>
      </c>
      <c r="B725" s="42" t="str">
        <f>IFERROR(INDEX(Mots!$B:$B,MATCH($A725,Mots!$A:$A,0)),"introuvable")</f>
        <v>la portée et les mesures</v>
      </c>
      <c r="C725" s="23" t="s">
        <v>8795</v>
      </c>
    </row>
    <row r="726" spans="1:9" x14ac:dyDescent="0.35">
      <c r="A726" s="23" t="s">
        <v>843</v>
      </c>
      <c r="B726" s="42" t="str">
        <f>IFERROR(INDEX(Mots!$B:$B,MATCH($A726,Mots!$A:$A,0)),"introuvable")</f>
        <v>la clé de sol</v>
      </c>
      <c r="C726" s="23" t="s">
        <v>8796</v>
      </c>
    </row>
    <row r="727" spans="1:9" x14ac:dyDescent="0.35">
      <c r="A727" s="23" t="s">
        <v>847</v>
      </c>
      <c r="B727" s="42" t="str">
        <f>IFERROR(INDEX(Mots!$B:$B,MATCH($A727,Mots!$A:$A,0)),"introuvable")</f>
        <v>les figures de notes</v>
      </c>
      <c r="C727" s="23" t="s">
        <v>8797</v>
      </c>
    </row>
    <row r="728" spans="1:9" x14ac:dyDescent="0.35">
      <c r="A728" s="23" t="s">
        <v>851</v>
      </c>
      <c r="B728" s="42" t="str">
        <f>IFERROR(INDEX(Mots!$B:$B,MATCH($A728,Mots!$A:$A,0)),"introuvable")</f>
        <v>les altérations</v>
      </c>
      <c r="C728" s="23" t="s">
        <v>8798</v>
      </c>
    </row>
    <row r="729" spans="1:9" x14ac:dyDescent="0.35">
      <c r="A729" s="23" t="s">
        <v>855</v>
      </c>
      <c r="B729" s="42" t="str">
        <f>IFERROR(INDEX(Mots!$B:$B,MATCH($A729,Mots!$A:$A,0)),"introuvable")</f>
        <v>les silences</v>
      </c>
      <c r="C729" s="23" t="s">
        <v>8799</v>
      </c>
    </row>
    <row r="730" spans="1:9" x14ac:dyDescent="0.35">
      <c r="A730" s="23" t="s">
        <v>859</v>
      </c>
      <c r="B730" s="42" t="str">
        <f>IFERROR(INDEX(Mots!$B:$B,MATCH($A730,Mots!$A:$A,0)),"introuvable")</f>
        <v>les nuances</v>
      </c>
      <c r="C730" s="23" t="s">
        <v>8800</v>
      </c>
    </row>
    <row r="731" spans="1:9" x14ac:dyDescent="0.35">
      <c r="A731" s="23" t="s">
        <v>863</v>
      </c>
      <c r="B731" s="42" t="str">
        <f>IFERROR(INDEX(Mots!$B:$B,MATCH($A731,Mots!$A:$A,0)),"introuvable")</f>
        <v>le crescendo et decrescendo</v>
      </c>
      <c r="C731" s="23" t="s">
        <v>8801</v>
      </c>
    </row>
    <row r="732" spans="1:9" x14ac:dyDescent="0.35">
      <c r="A732" s="23" t="s">
        <v>9683</v>
      </c>
      <c r="B732" s="42" t="str">
        <f>IFERROR(INDEX(Mots!$B:$B,MATCH($A732,Mots!$A:$A,0)),"introuvable")</f>
        <v>le défilé - le concours de marche</v>
      </c>
      <c r="C732" s="23" t="s">
        <v>8802</v>
      </c>
      <c r="I732" s="23" t="s">
        <v>8803</v>
      </c>
    </row>
    <row r="733" spans="1:9" x14ac:dyDescent="0.35">
      <c r="A733" s="23" t="s">
        <v>1938</v>
      </c>
      <c r="B733" s="42" t="str">
        <f>IFERROR(INDEX(Mots!$B:$B,MATCH($A733,Mots!$A:$A,0)),"introuvable")</f>
        <v>la guitare</v>
      </c>
      <c r="C733" s="23" t="s">
        <v>8804</v>
      </c>
      <c r="I733" s="23" t="s">
        <v>8805</v>
      </c>
    </row>
    <row r="734" spans="1:9" x14ac:dyDescent="0.35">
      <c r="A734" s="23" t="s">
        <v>1946</v>
      </c>
      <c r="B734" s="42" t="str">
        <f>IFERROR(INDEX(Mots!$B:$B,MATCH($A734,Mots!$A:$A,0)),"introuvable")</f>
        <v>le piano</v>
      </c>
      <c r="C734" s="23" t="s">
        <v>8806</v>
      </c>
      <c r="I734" s="23" t="s">
        <v>8807</v>
      </c>
    </row>
    <row r="735" spans="1:9" x14ac:dyDescent="0.35">
      <c r="A735" s="23" t="s">
        <v>1973</v>
      </c>
      <c r="B735" s="42" t="str">
        <f>IFERROR(INDEX(Mots!$B:$B,MATCH($A735,Mots!$A:$A,0)),"introuvable")</f>
        <v>le tambour</v>
      </c>
      <c r="C735" s="23" t="s">
        <v>8808</v>
      </c>
      <c r="I735" s="23" t="s">
        <v>8809</v>
      </c>
    </row>
    <row r="736" spans="1:9" x14ac:dyDescent="0.35">
      <c r="A736" s="23" t="s">
        <v>585</v>
      </c>
      <c r="B736" s="42" t="str">
        <f>IFERROR(INDEX(Mots!$B:$B,MATCH($A736,Mots!$A:$A,0)),"introuvable")</f>
        <v>le don d'honneur (argent)</v>
      </c>
      <c r="C736" s="23" t="s">
        <v>8810</v>
      </c>
    </row>
    <row r="737" spans="1:9" x14ac:dyDescent="0.35">
      <c r="A737" s="23" t="s">
        <v>653</v>
      </c>
      <c r="B737" s="42" t="str">
        <f>IFERROR(INDEX(Mots!$B:$B,MATCH($A737,Mots!$A:$A,0)),"introuvable")</f>
        <v>le loto</v>
      </c>
      <c r="C737" s="23" t="s">
        <v>8811</v>
      </c>
      <c r="I737" s="23" t="s">
        <v>8812</v>
      </c>
    </row>
    <row r="738" spans="1:9" x14ac:dyDescent="0.35">
      <c r="A738" s="23" t="s">
        <v>646</v>
      </c>
      <c r="B738" s="42" t="str">
        <f>IFERROR(INDEX(Mots!$B:$B,MATCH($A738,Mots!$A:$A,0)),"introuvable")</f>
        <v>le loisir</v>
      </c>
      <c r="C738" s="23" t="s">
        <v>8813</v>
      </c>
    </row>
    <row r="739" spans="1:9" x14ac:dyDescent="0.35">
      <c r="A739" s="23" t="s">
        <v>798</v>
      </c>
      <c r="B739" s="42" t="str">
        <f>IFERROR(INDEX(Mots!$B:$B,MATCH($A739,Mots!$A:$A,0)),"introuvable")</f>
        <v>le dossier</v>
      </c>
      <c r="C739" s="23" t="s">
        <v>8814</v>
      </c>
    </row>
    <row r="740" spans="1:9" x14ac:dyDescent="0.35">
      <c r="A740" s="23" t="s">
        <v>775</v>
      </c>
      <c r="B740" s="42" t="str">
        <f>IFERROR(INDEX(Mots!$B:$B,MATCH($A740,Mots!$A:$A,0)),"introuvable")</f>
        <v>la grille à raclette</v>
      </c>
      <c r="C740" s="23" t="s">
        <v>8815</v>
      </c>
    </row>
    <row r="741" spans="1:9" x14ac:dyDescent="0.35">
      <c r="A741" s="23" t="s">
        <v>2325</v>
      </c>
      <c r="B741" s="42" t="str">
        <f>IFERROR(INDEX(Mots!$B:$B,MATCH($A741,Mots!$A:$A,0)),"introuvable")</f>
        <v>le chargeur</v>
      </c>
      <c r="C741" s="23" t="s">
        <v>8816</v>
      </c>
    </row>
    <row r="742" spans="1:9" x14ac:dyDescent="0.35">
      <c r="A742" s="23" t="s">
        <v>3224</v>
      </c>
      <c r="B742" s="42" t="str">
        <f>IFERROR(INDEX(Mots!$B:$B,MATCH($A742,Mots!$A:$A,0)),"introuvable")</f>
        <v>la calculatrice</v>
      </c>
      <c r="C742" s="23" t="s">
        <v>8817</v>
      </c>
    </row>
    <row r="743" spans="1:9" x14ac:dyDescent="0.35">
      <c r="A743" s="23" t="s">
        <v>10076</v>
      </c>
      <c r="B743" s="42" t="str">
        <f>IFERROR(INDEX(Mots!$B:$B,MATCH($A743,Mots!$A:$A,0)),"introuvable")</f>
        <v>le store</v>
      </c>
      <c r="C743" s="23" t="s">
        <v>10092</v>
      </c>
      <c r="I743" s="23" t="s">
        <v>10093</v>
      </c>
    </row>
    <row r="744" spans="1:9" x14ac:dyDescent="0.35">
      <c r="A744" s="23" t="s">
        <v>3355</v>
      </c>
      <c r="B744" s="42" t="str">
        <f>IFERROR(INDEX(Mots!$B:$B,MATCH($A744,Mots!$A:$A,0)),"introuvable")</f>
        <v>les volets</v>
      </c>
      <c r="C744" s="23" t="s">
        <v>8818</v>
      </c>
      <c r="I744" s="23" t="s">
        <v>8819</v>
      </c>
    </row>
    <row r="745" spans="1:9" x14ac:dyDescent="0.35">
      <c r="A745" s="23" t="s">
        <v>3381</v>
      </c>
      <c r="B745" s="42" t="str">
        <f>IFERROR(INDEX(Mots!$B:$B,MATCH($A745,Mots!$A:$A,0)),"introuvable")</f>
        <v>la barrière</v>
      </c>
      <c r="C745" s="23" t="s">
        <v>8820</v>
      </c>
    </row>
    <row r="746" spans="1:9" x14ac:dyDescent="0.35">
      <c r="A746" s="23" t="s">
        <v>3389</v>
      </c>
      <c r="B746" s="42" t="str">
        <f>IFERROR(INDEX(Mots!$B:$B,MATCH($A746,Mots!$A:$A,0)),"introuvable")</f>
        <v>la prise</v>
      </c>
      <c r="C746" s="23" t="s">
        <v>8821</v>
      </c>
      <c r="I746" s="23" t="s">
        <v>8822</v>
      </c>
    </row>
    <row r="747" spans="1:9" x14ac:dyDescent="0.35">
      <c r="A747" s="23" t="s">
        <v>3393</v>
      </c>
      <c r="B747" s="42" t="str">
        <f>IFERROR(INDEX(Mots!$B:$B,MATCH($A747,Mots!$A:$A,0)),"introuvable")</f>
        <v>la serrure</v>
      </c>
      <c r="C747" s="23" t="s">
        <v>8823</v>
      </c>
    </row>
    <row r="748" spans="1:9" x14ac:dyDescent="0.35">
      <c r="A748" s="23" t="s">
        <v>3397</v>
      </c>
      <c r="B748" s="42" t="str">
        <f>IFERROR(INDEX(Mots!$B:$B,MATCH($A748,Mots!$A:$A,0)),"introuvable")</f>
        <v>le fourneau à bois</v>
      </c>
      <c r="C748" s="23" t="s">
        <v>8824</v>
      </c>
    </row>
    <row r="749" spans="1:9" x14ac:dyDescent="0.35">
      <c r="A749" s="23" t="s">
        <v>3401</v>
      </c>
      <c r="B749" s="42" t="str">
        <f>IFERROR(INDEX(Mots!$B:$B,MATCH($A749,Mots!$A:$A,0)),"introuvable")</f>
        <v>le fourneau à pellets</v>
      </c>
      <c r="C749" s="23" t="s">
        <v>8825</v>
      </c>
    </row>
    <row r="750" spans="1:9" x14ac:dyDescent="0.35">
      <c r="A750" s="23" t="s">
        <v>4137</v>
      </c>
      <c r="B750" s="42" t="str">
        <f>IFERROR(INDEX(Mots!$B:$B,MATCH($A750,Mots!$A:$A,0)),"introuvable")</f>
        <v>la boîte</v>
      </c>
      <c r="C750" s="23" t="s">
        <v>8826</v>
      </c>
      <c r="I750" s="23" t="s">
        <v>8827</v>
      </c>
    </row>
    <row r="751" spans="1:9" x14ac:dyDescent="0.35">
      <c r="A751" s="23" t="s">
        <v>4145</v>
      </c>
      <c r="B751" s="42" t="str">
        <f>IFERROR(INDEX(Mots!$B:$B,MATCH($A751,Mots!$A:$A,0)),"introuvable")</f>
        <v>la bougie</v>
      </c>
      <c r="C751" s="23" t="s">
        <v>8828</v>
      </c>
      <c r="I751" s="23" t="s">
        <v>8829</v>
      </c>
    </row>
    <row r="752" spans="1:9" x14ac:dyDescent="0.35">
      <c r="A752" s="23" t="s">
        <v>4253</v>
      </c>
      <c r="B752" s="42" t="str">
        <f>IFERROR(INDEX(Mots!$B:$B,MATCH($A752,Mots!$A:$A,0)),"introuvable")</f>
        <v>la colle</v>
      </c>
      <c r="C752" s="23" t="s">
        <v>8830</v>
      </c>
      <c r="I752" s="23" t="s">
        <v>8831</v>
      </c>
    </row>
    <row r="753" spans="1:9" x14ac:dyDescent="0.35">
      <c r="A753" s="23" t="s">
        <v>4318</v>
      </c>
      <c r="B753" s="42" t="str">
        <f>IFERROR(INDEX(Mots!$B:$B,MATCH($A753,Mots!$A:$A,0)),"introuvable")</f>
        <v>la couverture</v>
      </c>
      <c r="C753" s="23" t="s">
        <v>8832</v>
      </c>
      <c r="I753" s="23" t="s">
        <v>8833</v>
      </c>
    </row>
    <row r="754" spans="1:9" x14ac:dyDescent="0.35">
      <c r="A754" s="23" t="s">
        <v>4302</v>
      </c>
      <c r="B754" s="42" t="str">
        <f>IFERROR(INDEX(Mots!$B:$B,MATCH($A754,Mots!$A:$A,0)),"introuvable")</f>
        <v>la corde</v>
      </c>
      <c r="C754" s="23" t="s">
        <v>8834</v>
      </c>
    </row>
    <row r="755" spans="1:9" x14ac:dyDescent="0.35">
      <c r="A755" s="23" t="s">
        <v>4507</v>
      </c>
      <c r="B755" s="42" t="str">
        <f>IFERROR(INDEX(Mots!$B:$B,MATCH($A755,Mots!$A:$A,0)),"introuvable")</f>
        <v>la grille</v>
      </c>
      <c r="C755" s="23" t="s">
        <v>8835</v>
      </c>
    </row>
    <row r="756" spans="1:9" x14ac:dyDescent="0.35">
      <c r="A756" s="23" t="s">
        <v>4245</v>
      </c>
      <c r="B756" s="42" t="str">
        <f>IFERROR(INDEX(Mots!$B:$B,MATCH($A756,Mots!$A:$A,0)),"introuvable")</f>
        <v>la clôture</v>
      </c>
      <c r="C756" s="23" t="s">
        <v>8836</v>
      </c>
    </row>
    <row r="757" spans="1:9" x14ac:dyDescent="0.35">
      <c r="A757" s="23" t="s">
        <v>4551</v>
      </c>
      <c r="B757" s="42" t="str">
        <f>IFERROR(INDEX(Mots!$B:$B,MATCH($A757,Mots!$A:$A,0)),"introuvable")</f>
        <v>la lame</v>
      </c>
      <c r="C757" s="23" t="s">
        <v>8837</v>
      </c>
    </row>
    <row r="758" spans="1:9" x14ac:dyDescent="0.35">
      <c r="A758" s="23" t="s">
        <v>4596</v>
      </c>
      <c r="B758" s="42" t="str">
        <f>IFERROR(INDEX(Mots!$B:$B,MATCH($A758,Mots!$A:$A,0)),"introuvable")</f>
        <v>la loupe</v>
      </c>
      <c r="C758" s="23" t="s">
        <v>8838</v>
      </c>
    </row>
    <row r="759" spans="1:9" x14ac:dyDescent="0.35">
      <c r="A759" s="23" t="s">
        <v>4616</v>
      </c>
      <c r="B759" s="42" t="str">
        <f>IFERROR(INDEX(Mots!$B:$B,MATCH($A759,Mots!$A:$A,0)),"introuvable")</f>
        <v>la machine</v>
      </c>
      <c r="C759" s="23" t="s">
        <v>8839</v>
      </c>
    </row>
    <row r="760" spans="1:9" x14ac:dyDescent="0.35">
      <c r="A760" s="23" t="s">
        <v>4626</v>
      </c>
      <c r="B760" s="42" t="str">
        <f>IFERROR(INDEX(Mots!$B:$B,MATCH($A760,Mots!$A:$A,0)),"introuvable")</f>
        <v>la manche</v>
      </c>
      <c r="C760" s="23" t="s">
        <v>8840</v>
      </c>
      <c r="I760" s="23" t="s">
        <v>8841</v>
      </c>
    </row>
    <row r="761" spans="1:9" x14ac:dyDescent="0.35">
      <c r="A761" s="23" t="s">
        <v>4090</v>
      </c>
      <c r="B761" s="42" t="str">
        <f>IFERROR(INDEX(Mots!$B:$B,MATCH($A761,Mots!$A:$A,0)),"introuvable")</f>
        <v>la balance</v>
      </c>
      <c r="C761" s="23" t="s">
        <v>8842</v>
      </c>
    </row>
    <row r="762" spans="1:9" x14ac:dyDescent="0.35">
      <c r="A762" s="23" t="s">
        <v>4098</v>
      </c>
      <c r="B762" s="42" t="str">
        <f>IFERROR(INDEX(Mots!$B:$B,MATCH($A762,Mots!$A:$A,0)),"introuvable")</f>
        <v>la balle</v>
      </c>
      <c r="C762" s="23" t="s">
        <v>8843</v>
      </c>
      <c r="I762" s="23" t="s">
        <v>8844</v>
      </c>
    </row>
    <row r="763" spans="1:9" x14ac:dyDescent="0.35">
      <c r="A763" s="23" t="s">
        <v>4201</v>
      </c>
      <c r="B763" s="42" t="str">
        <f>IFERROR(INDEX(Mots!$B:$B,MATCH($A763,Mots!$A:$A,0)),"introuvable")</f>
        <v>la cave</v>
      </c>
      <c r="C763" s="23" t="s">
        <v>8845</v>
      </c>
      <c r="I763" s="23" t="s">
        <v>8846</v>
      </c>
    </row>
    <row r="764" spans="1:9" x14ac:dyDescent="0.35">
      <c r="A764" s="23" t="s">
        <v>4338</v>
      </c>
      <c r="B764" s="42" t="str">
        <f>IFERROR(INDEX(Mots!$B:$B,MATCH($A764,Mots!$A:$A,0)),"introuvable")</f>
        <v>la cuve pour le vin</v>
      </c>
      <c r="C764" s="23" t="s">
        <v>8847</v>
      </c>
    </row>
    <row r="765" spans="1:9" x14ac:dyDescent="0.35">
      <c r="A765" s="23" t="s">
        <v>4153</v>
      </c>
      <c r="B765" s="42" t="str">
        <f>IFERROR(INDEX(Mots!$B:$B,MATCH($A765,Mots!$A:$A,0)),"introuvable")</f>
        <v>la boule</v>
      </c>
      <c r="C765" s="23" t="s">
        <v>8848</v>
      </c>
      <c r="I765" s="23" t="s">
        <v>8849</v>
      </c>
    </row>
    <row r="766" spans="1:9" x14ac:dyDescent="0.35">
      <c r="A766" s="23" t="s">
        <v>2800</v>
      </c>
      <c r="B766" s="42" t="str">
        <f>IFERROR(INDEX(Mots!$B:$B,MATCH($A766,Mots!$A:$A,0)),"introuvable")</f>
        <v>la branche d'un arbre</v>
      </c>
      <c r="C766" s="23" t="s">
        <v>8850</v>
      </c>
    </row>
    <row r="767" spans="1:9" x14ac:dyDescent="0.35">
      <c r="A767" s="23" t="s">
        <v>9400</v>
      </c>
      <c r="B767" s="42" t="str">
        <f>IFERROR(INDEX(Mots!$B:$B,MATCH($A767,Mots!$A:$A,0)),"introuvable")</f>
        <v>la feuille d'une plante</v>
      </c>
      <c r="C767" s="23" t="s">
        <v>8852</v>
      </c>
      <c r="D767" s="24" t="s">
        <v>8851</v>
      </c>
    </row>
    <row r="768" spans="1:9" x14ac:dyDescent="0.35">
      <c r="A768" s="23" t="s">
        <v>4168</v>
      </c>
      <c r="B768" s="42" t="str">
        <f>IFERROR(INDEX(Mots!$B:$B,MATCH($A768,Mots!$A:$A,0)),"introuvable")</f>
        <v>la brise</v>
      </c>
      <c r="C768" s="23" t="s">
        <v>8853</v>
      </c>
    </row>
    <row r="769" spans="1:9" x14ac:dyDescent="0.35">
      <c r="A769" s="23" t="s">
        <v>4180</v>
      </c>
      <c r="B769" s="42" t="str">
        <f>IFERROR(INDEX(Mots!$B:$B,MATCH($A769,Mots!$A:$A,0)),"introuvable")</f>
        <v>la campagne</v>
      </c>
      <c r="C769" s="23" t="s">
        <v>8854</v>
      </c>
      <c r="I769" s="23" t="s">
        <v>8855</v>
      </c>
    </row>
    <row r="770" spans="1:9" x14ac:dyDescent="0.35">
      <c r="A770" s="23" t="s">
        <v>4184</v>
      </c>
      <c r="B770" s="42" t="str">
        <f>IFERROR(INDEX(Mots!$B:$B,MATCH($A770,Mots!$A:$A,0)),"introuvable")</f>
        <v>la cascade</v>
      </c>
      <c r="C770" s="23" t="s">
        <v>8856</v>
      </c>
    </row>
    <row r="771" spans="1:9" x14ac:dyDescent="0.35">
      <c r="A771" s="23" t="s">
        <v>4266</v>
      </c>
      <c r="B771" s="42" t="str">
        <f>IFERROR(INDEX(Mots!$B:$B,MATCH($A771,Mots!$A:$A,0)),"introuvable")</f>
        <v>la colline</v>
      </c>
      <c r="C771" s="23" t="s">
        <v>8857</v>
      </c>
    </row>
    <row r="772" spans="1:9" x14ac:dyDescent="0.35">
      <c r="A772" s="23" t="s">
        <v>4383</v>
      </c>
      <c r="B772" s="42" t="str">
        <f>IFERROR(INDEX(Mots!$B:$B,MATCH($A772,Mots!$A:$A,0)),"introuvable")</f>
        <v>la falaise</v>
      </c>
      <c r="C772" s="23" t="s">
        <v>8858</v>
      </c>
    </row>
    <row r="773" spans="1:9" x14ac:dyDescent="0.35">
      <c r="A773" s="23" t="s">
        <v>4433</v>
      </c>
      <c r="B773" s="42" t="str">
        <f>IFERROR(INDEX(Mots!$B:$B,MATCH($A773,Mots!$A:$A,0)),"introuvable")</f>
        <v>la fontaine</v>
      </c>
      <c r="C773" s="23" t="s">
        <v>8859</v>
      </c>
    </row>
    <row r="774" spans="1:9" x14ac:dyDescent="0.35">
      <c r="A774" s="23" t="s">
        <v>4476</v>
      </c>
      <c r="B774" s="42" t="str">
        <f>IFERROR(INDEX(Mots!$B:$B,MATCH($A774,Mots!$A:$A,0)),"introuvable")</f>
        <v>la glace</v>
      </c>
      <c r="C774" s="23" t="s">
        <v>8860</v>
      </c>
    </row>
    <row r="775" spans="1:9" x14ac:dyDescent="0.35">
      <c r="A775" s="23" t="s">
        <v>4493</v>
      </c>
      <c r="B775" s="42" t="str">
        <f>IFERROR(INDEX(Mots!$B:$B,MATCH($A775,Mots!$A:$A,0)),"introuvable")</f>
        <v>la goutte</v>
      </c>
      <c r="C775" s="23" t="s">
        <v>8861</v>
      </c>
      <c r="I775" s="23" t="s">
        <v>8862</v>
      </c>
    </row>
    <row r="776" spans="1:9" x14ac:dyDescent="0.35">
      <c r="A776" s="23" t="s">
        <v>4497</v>
      </c>
      <c r="B776" s="42" t="str">
        <f>IFERROR(INDEX(Mots!$B:$B,MATCH($A776,Mots!$A:$A,0)),"introuvable")</f>
        <v>la graine</v>
      </c>
      <c r="C776" s="23" t="s">
        <v>8863</v>
      </c>
      <c r="I776" s="23" t="s">
        <v>8864</v>
      </c>
    </row>
    <row r="777" spans="1:9" x14ac:dyDescent="0.35">
      <c r="A777" s="23" t="s">
        <v>4515</v>
      </c>
      <c r="B777" s="42" t="str">
        <f>IFERROR(INDEX(Mots!$B:$B,MATCH($A777,Mots!$A:$A,0)),"introuvable")</f>
        <v>la grotte</v>
      </c>
      <c r="C777" s="23" t="s">
        <v>8865</v>
      </c>
    </row>
    <row r="778" spans="1:9" x14ac:dyDescent="0.35">
      <c r="A778" s="23" t="s">
        <v>4637</v>
      </c>
      <c r="B778" s="42" t="str">
        <f>IFERROR(INDEX(Mots!$B:$B,MATCH($A778,Mots!$A:$A,0)),"introuvable")</f>
        <v>la marée</v>
      </c>
      <c r="C778" s="23" t="s">
        <v>8866</v>
      </c>
    </row>
    <row r="779" spans="1:9" x14ac:dyDescent="0.35">
      <c r="A779" s="23" t="s">
        <v>4657</v>
      </c>
      <c r="B779" s="42" t="str">
        <f>IFERROR(INDEX(Mots!$B:$B,MATCH($A779,Mots!$A:$A,0)),"introuvable")</f>
        <v>la météo</v>
      </c>
      <c r="C779" s="23" t="s">
        <v>8867</v>
      </c>
      <c r="I779" s="23" t="s">
        <v>8868</v>
      </c>
    </row>
    <row r="780" spans="1:9" x14ac:dyDescent="0.35">
      <c r="A780" s="23" t="s">
        <v>1656</v>
      </c>
      <c r="B780" s="42" t="str">
        <f>IFERROR(INDEX(Mots!$B:$B,MATCH($A780,Mots!$A:$A,0)),"introuvable")</f>
        <v>la terre</v>
      </c>
      <c r="C780" s="23" t="s">
        <v>8869</v>
      </c>
    </row>
    <row r="781" spans="1:9" x14ac:dyDescent="0.35">
      <c r="A781" s="23" t="s">
        <v>4211</v>
      </c>
      <c r="B781" s="42" t="str">
        <f>IFERROR(INDEX(Mots!$B:$B,MATCH($A781,Mots!$A:$A,0)),"introuvable")</f>
        <v>la chaleur</v>
      </c>
      <c r="C781" s="23" t="s">
        <v>8870</v>
      </c>
      <c r="I781" s="23" t="s">
        <v>8871</v>
      </c>
    </row>
    <row r="782" spans="1:9" x14ac:dyDescent="0.35">
      <c r="A782" s="23" t="s">
        <v>4205</v>
      </c>
      <c r="B782" s="42" t="str">
        <f>IFERROR(INDEX(Mots!$B:$B,MATCH($A782,Mots!$A:$A,0)),"introuvable")</f>
        <v>la chair</v>
      </c>
      <c r="C782" s="23" t="s">
        <v>8872</v>
      </c>
    </row>
    <row r="783" spans="1:9" x14ac:dyDescent="0.35">
      <c r="A783" s="23" t="s">
        <v>4369</v>
      </c>
      <c r="B783" s="42" t="str">
        <f>IFERROR(INDEX(Mots!$B:$B,MATCH($A783,Mots!$A:$A,0)),"introuvable")</f>
        <v>la douleur</v>
      </c>
      <c r="C783" s="23" t="s">
        <v>8873</v>
      </c>
      <c r="I783" s="23" t="s">
        <v>8874</v>
      </c>
    </row>
    <row r="784" spans="1:9" x14ac:dyDescent="0.35">
      <c r="A784" s="23" t="s">
        <v>4416</v>
      </c>
      <c r="B784" s="42" t="str">
        <f>IFERROR(INDEX(Mots!$B:$B,MATCH($A784,Mots!$A:$A,0)),"introuvable")</f>
        <v>la fièvre</v>
      </c>
      <c r="C784" s="23" t="s">
        <v>8875</v>
      </c>
      <c r="I784" s="23" t="s">
        <v>8876</v>
      </c>
    </row>
    <row r="785" spans="1:9" x14ac:dyDescent="0.35">
      <c r="A785" s="23" t="s">
        <v>4484</v>
      </c>
      <c r="B785" s="42" t="str">
        <f>IFERROR(INDEX(Mots!$B:$B,MATCH($A785,Mots!$A:$A,0)),"introuvable")</f>
        <v>la gorge</v>
      </c>
      <c r="C785" s="23" t="s">
        <v>8877</v>
      </c>
      <c r="I785" s="23" t="s">
        <v>8878</v>
      </c>
    </row>
    <row r="786" spans="1:9" x14ac:dyDescent="0.35">
      <c r="A786" s="23" t="s">
        <v>4559</v>
      </c>
      <c r="B786" s="42" t="str">
        <f>IFERROR(INDEX(Mots!$B:$B,MATCH($A786,Mots!$A:$A,0)),"introuvable")</f>
        <v>la larme</v>
      </c>
      <c r="C786" s="23" t="s">
        <v>8879</v>
      </c>
      <c r="I786" s="23" t="s">
        <v>8880</v>
      </c>
    </row>
    <row r="787" spans="1:9" x14ac:dyDescent="0.35">
      <c r="A787" s="23" t="s">
        <v>4622</v>
      </c>
      <c r="B787" s="42" t="str">
        <f>IFERROR(INDEX(Mots!$B:$B,MATCH($A787,Mots!$A:$A,0)),"introuvable")</f>
        <v>la maladie</v>
      </c>
      <c r="C787" s="23" t="s">
        <v>8881</v>
      </c>
    </row>
    <row r="788" spans="1:9" x14ac:dyDescent="0.35">
      <c r="A788" s="23" t="s">
        <v>4653</v>
      </c>
      <c r="B788" s="42" t="str">
        <f>IFERROR(INDEX(Mots!$B:$B,MATCH($A788,Mots!$A:$A,0)),"introuvable")</f>
        <v>la mémoire</v>
      </c>
      <c r="C788" s="23" t="s">
        <v>8882</v>
      </c>
      <c r="I788" s="23" t="s">
        <v>8883</v>
      </c>
    </row>
    <row r="789" spans="1:9" x14ac:dyDescent="0.35">
      <c r="A789" s="23" t="s">
        <v>4505</v>
      </c>
      <c r="B789" s="42" t="str">
        <f>IFERROR(INDEX(Mots!$B:$B,MATCH($A789,Mots!$A:$A,0)),"introuvable")</f>
        <v>la graisse</v>
      </c>
      <c r="C789" s="23" t="s">
        <v>8884</v>
      </c>
    </row>
    <row r="790" spans="1:9" x14ac:dyDescent="0.35">
      <c r="A790" s="23" t="s">
        <v>4278</v>
      </c>
      <c r="B790" s="42" t="str">
        <f>IFERROR(INDEX(Mots!$B:$B,MATCH($A790,Mots!$A:$A,0)),"introuvable")</f>
        <v>la confiture</v>
      </c>
      <c r="C790" s="23" t="s">
        <v>8885</v>
      </c>
      <c r="I790" s="23" t="s">
        <v>8886</v>
      </c>
    </row>
    <row r="791" spans="1:9" x14ac:dyDescent="0.35">
      <c r="A791" s="23" t="s">
        <v>4326</v>
      </c>
      <c r="B791" s="42" t="str">
        <f>IFERROR(INDEX(Mots!$B:$B,MATCH($A791,Mots!$A:$A,0)),"introuvable")</f>
        <v>la crème</v>
      </c>
      <c r="C791" s="23" t="s">
        <v>8887</v>
      </c>
    </row>
    <row r="792" spans="1:9" x14ac:dyDescent="0.35">
      <c r="A792" s="23" t="s">
        <v>4387</v>
      </c>
      <c r="B792" s="42" t="str">
        <f>IFERROR(INDEX(Mots!$B:$B,MATCH($A792,Mots!$A:$A,0)),"introuvable")</f>
        <v>la farine</v>
      </c>
      <c r="C792" s="23" t="s">
        <v>8888</v>
      </c>
    </row>
    <row r="793" spans="1:9" x14ac:dyDescent="0.35">
      <c r="A793" s="23" t="s">
        <v>4454</v>
      </c>
      <c r="B793" s="42" t="str">
        <f>IFERROR(INDEX(Mots!$B:$B,MATCH($A793,Mots!$A:$A,0)),"introuvable")</f>
        <v>la friandise</v>
      </c>
      <c r="C793" s="23" t="s">
        <v>8889</v>
      </c>
    </row>
    <row r="794" spans="1:9" x14ac:dyDescent="0.35">
      <c r="A794" s="23" t="s">
        <v>434</v>
      </c>
      <c r="B794" s="42" t="str">
        <f>IFERROR(INDEX(Mots!$B:$B,MATCH($A794,Mots!$A:$A,0)),"introuvable")</f>
        <v>le rapport</v>
      </c>
      <c r="C794" s="23" t="s">
        <v>8890</v>
      </c>
      <c r="I794" s="23" t="s">
        <v>8891</v>
      </c>
    </row>
    <row r="795" spans="1:9" x14ac:dyDescent="0.35">
      <c r="A795" s="23" t="s">
        <v>4082</v>
      </c>
      <c r="B795" s="42" t="str">
        <f>IFERROR(INDEX(Mots!$B:$B,MATCH($A795,Mots!$A:$A,0)),"introuvable")</f>
        <v>la bagarre</v>
      </c>
      <c r="C795" s="23" t="s">
        <v>8892</v>
      </c>
    </row>
    <row r="796" spans="1:9" x14ac:dyDescent="0.35">
      <c r="A796" s="23" t="s">
        <v>4114</v>
      </c>
      <c r="B796" s="42" t="str">
        <f>IFERROR(INDEX(Mots!$B:$B,MATCH($A796,Mots!$A:$A,0)),"introuvable")</f>
        <v>la bataille</v>
      </c>
      <c r="C796" s="23" t="s">
        <v>8893</v>
      </c>
    </row>
    <row r="797" spans="1:9" x14ac:dyDescent="0.35">
      <c r="A797" s="23" t="s">
        <v>4106</v>
      </c>
      <c r="B797" s="42" t="str">
        <f>IFERROR(INDEX(Mots!$B:$B,MATCH($A797,Mots!$A:$A,0)),"introuvable")</f>
        <v>la bande</v>
      </c>
      <c r="C797" s="23" t="s">
        <v>8894</v>
      </c>
      <c r="I797" s="23" t="s">
        <v>8895</v>
      </c>
    </row>
    <row r="798" spans="1:9" x14ac:dyDescent="0.35">
      <c r="A798" s="23" t="s">
        <v>89</v>
      </c>
      <c r="B798" s="42" t="str">
        <f>IFERROR(INDEX(Mots!$B:$B,MATCH($A798,Mots!$A:$A,0)),"introuvable")</f>
        <v>la catégorie</v>
      </c>
      <c r="C798" s="23" t="s">
        <v>8896</v>
      </c>
    </row>
    <row r="799" spans="1:9" x14ac:dyDescent="0.35">
      <c r="A799" s="23" t="s">
        <v>4221</v>
      </c>
      <c r="B799" s="42" t="str">
        <f>IFERROR(INDEX(Mots!$B:$B,MATCH($A799,Mots!$A:$A,0)),"introuvable")</f>
        <v>la circulation</v>
      </c>
      <c r="C799" s="23" t="s">
        <v>8897</v>
      </c>
    </row>
    <row r="800" spans="1:9" x14ac:dyDescent="0.35">
      <c r="A800" s="23" t="s">
        <v>4274</v>
      </c>
      <c r="B800" s="42" t="str">
        <f>IFERROR(INDEX(Mots!$B:$B,MATCH($A800,Mots!$A:$A,0)),"introuvable")</f>
        <v>la compagnie</v>
      </c>
      <c r="C800" s="23" t="s">
        <v>8898</v>
      </c>
      <c r="I800" s="23" t="s">
        <v>8899</v>
      </c>
    </row>
    <row r="801" spans="1:9" x14ac:dyDescent="0.35">
      <c r="A801" s="23" t="s">
        <v>4286</v>
      </c>
      <c r="B801" s="42" t="str">
        <f>IFERROR(INDEX(Mots!$B:$B,MATCH($A801,Mots!$A:$A,0)),"introuvable")</f>
        <v>la consigne</v>
      </c>
      <c r="C801" s="23" t="s">
        <v>8900</v>
      </c>
      <c r="I801" s="23" t="s">
        <v>8901</v>
      </c>
    </row>
    <row r="802" spans="1:9" x14ac:dyDescent="0.35">
      <c r="A802" s="23" t="s">
        <v>4290</v>
      </c>
      <c r="B802" s="42" t="str">
        <f>IFERROR(INDEX(Mots!$B:$B,MATCH($A802,Mots!$A:$A,0)),"introuvable")</f>
        <v>la construction</v>
      </c>
      <c r="C802" s="23" t="s">
        <v>8902</v>
      </c>
    </row>
    <row r="803" spans="1:9" x14ac:dyDescent="0.35">
      <c r="A803" s="23" t="s">
        <v>4310</v>
      </c>
      <c r="B803" s="42" t="str">
        <f>IFERROR(INDEX(Mots!$B:$B,MATCH($A803,Mots!$A:$A,0)),"introuvable")</f>
        <v>la course</v>
      </c>
      <c r="C803" s="23" t="s">
        <v>8903</v>
      </c>
      <c r="I803" s="23" t="s">
        <v>8904</v>
      </c>
    </row>
    <row r="804" spans="1:9" x14ac:dyDescent="0.35">
      <c r="A804" s="23" t="s">
        <v>4334</v>
      </c>
      <c r="B804" s="42" t="str">
        <f>IFERROR(INDEX(Mots!$B:$B,MATCH($A804,Mots!$A:$A,0)),"introuvable")</f>
        <v>la curiosité</v>
      </c>
      <c r="C804" s="23" t="s">
        <v>8905</v>
      </c>
    </row>
    <row r="805" spans="1:9" x14ac:dyDescent="0.35">
      <c r="A805" s="23" t="s">
        <v>4352</v>
      </c>
      <c r="B805" s="42" t="str">
        <f>IFERROR(INDEX(Mots!$B:$B,MATCH($A805,Mots!$A:$A,0)),"introuvable")</f>
        <v>la différence</v>
      </c>
      <c r="C805" s="23" t="s">
        <v>8906</v>
      </c>
      <c r="I805" s="23" t="s">
        <v>8907</v>
      </c>
    </row>
    <row r="806" spans="1:9" x14ac:dyDescent="0.35">
      <c r="A806" s="23" t="s">
        <v>4379</v>
      </c>
      <c r="B806" s="42" t="str">
        <f>IFERROR(INDEX(Mots!$B:$B,MATCH($A806,Mots!$A:$A,0)),"introuvable")</f>
        <v>la facture</v>
      </c>
      <c r="C806" s="23" t="s">
        <v>8908</v>
      </c>
      <c r="I806" s="23" t="s">
        <v>8909</v>
      </c>
    </row>
    <row r="807" spans="1:9" x14ac:dyDescent="0.35">
      <c r="A807" s="23" t="s">
        <v>4395</v>
      </c>
      <c r="B807" s="42" t="str">
        <f>IFERROR(INDEX(Mots!$B:$B,MATCH($A807,Mots!$A:$A,0)),"introuvable")</f>
        <v>la faute</v>
      </c>
      <c r="C807" s="23" t="s">
        <v>8910</v>
      </c>
      <c r="I807" s="23" t="s">
        <v>8911</v>
      </c>
    </row>
    <row r="808" spans="1:9" x14ac:dyDescent="0.35">
      <c r="A808" s="23" t="s">
        <v>4424</v>
      </c>
      <c r="B808" s="42" t="str">
        <f>IFERROR(INDEX(Mots!$B:$B,MATCH($A808,Mots!$A:$A,0)),"introuvable")</f>
        <v>la flamme</v>
      </c>
      <c r="C808" s="23" t="s">
        <v>8912</v>
      </c>
    </row>
    <row r="809" spans="1:9" x14ac:dyDescent="0.35">
      <c r="A809" s="23" t="s">
        <v>4428</v>
      </c>
      <c r="B809" s="42" t="str">
        <f>IFERROR(INDEX(Mots!$B:$B,MATCH($A809,Mots!$A:$A,0)),"introuvable")</f>
        <v>la fois</v>
      </c>
      <c r="C809" s="23" t="s">
        <v>8913</v>
      </c>
      <c r="I809" s="23" t="s">
        <v>8914</v>
      </c>
    </row>
    <row r="810" spans="1:9" x14ac:dyDescent="0.35">
      <c r="A810" s="23" t="s">
        <v>4441</v>
      </c>
      <c r="B810" s="42" t="str">
        <f>IFERROR(INDEX(Mots!$B:$B,MATCH($A810,Mots!$A:$A,0)),"introuvable")</f>
        <v>la force</v>
      </c>
      <c r="C810" s="23" t="s">
        <v>8915</v>
      </c>
      <c r="I810" s="23" t="s">
        <v>8916</v>
      </c>
    </row>
    <row r="811" spans="1:9" x14ac:dyDescent="0.35">
      <c r="A811" s="23" t="s">
        <v>4445</v>
      </c>
      <c r="B811" s="42" t="str">
        <f>IFERROR(INDEX(Mots!$B:$B,MATCH($A811,Mots!$A:$A,0)),"introuvable")</f>
        <v>la forme</v>
      </c>
      <c r="C811" s="23" t="s">
        <v>8917</v>
      </c>
      <c r="I811" s="23" t="s">
        <v>8918</v>
      </c>
    </row>
    <row r="812" spans="1:9" x14ac:dyDescent="0.35">
      <c r="A812" s="23" t="s">
        <v>4462</v>
      </c>
      <c r="B812" s="42" t="str">
        <f>IFERROR(INDEX(Mots!$B:$B,MATCH($A812,Mots!$A:$A,0)),"introuvable")</f>
        <v>la gaieté</v>
      </c>
      <c r="C812" s="23" t="s">
        <v>8919</v>
      </c>
    </row>
    <row r="813" spans="1:9" x14ac:dyDescent="0.35">
      <c r="A813" s="23" t="s">
        <v>4465</v>
      </c>
      <c r="B813" s="42" t="str">
        <f>IFERROR(INDEX(Mots!$B:$B,MATCH($A813,Mots!$A:$A,0)),"introuvable")</f>
        <v>la garantie</v>
      </c>
      <c r="C813" s="23" t="s">
        <v>8920</v>
      </c>
      <c r="I813" s="23" t="s">
        <v>8921</v>
      </c>
    </row>
    <row r="814" spans="1:9" x14ac:dyDescent="0.35">
      <c r="A814" s="23" t="s">
        <v>4472</v>
      </c>
      <c r="B814" s="42" t="str">
        <f>IFERROR(INDEX(Mots!$B:$B,MATCH($A814,Mots!$A:$A,0)),"introuvable")</f>
        <v>la gentillesse</v>
      </c>
      <c r="C814" s="23" t="s">
        <v>8922</v>
      </c>
    </row>
    <row r="815" spans="1:9" x14ac:dyDescent="0.35">
      <c r="A815" s="23" t="s">
        <v>4531</v>
      </c>
      <c r="B815" s="42" t="str">
        <f>IFERROR(INDEX(Mots!$B:$B,MATCH($A815,Mots!$A:$A,0)),"introuvable")</f>
        <v>la guerre</v>
      </c>
      <c r="C815" s="23" t="s">
        <v>8923</v>
      </c>
    </row>
    <row r="816" spans="1:9" x14ac:dyDescent="0.35">
      <c r="A816" s="23" t="s">
        <v>4547</v>
      </c>
      <c r="B816" s="42" t="str">
        <f>IFERROR(INDEX(Mots!$B:$B,MATCH($A816,Mots!$A:$A,0)),"introuvable")</f>
        <v>la journée</v>
      </c>
      <c r="C816" s="23" t="s">
        <v>8924</v>
      </c>
      <c r="I816" s="23" t="s">
        <v>8925</v>
      </c>
    </row>
    <row r="817" spans="1:9" x14ac:dyDescent="0.35">
      <c r="A817" s="23" t="s">
        <v>4567</v>
      </c>
      <c r="B817" s="42" t="str">
        <f>IFERROR(INDEX(Mots!$B:$B,MATCH($A817,Mots!$A:$A,0)),"introuvable")</f>
        <v>la lecture</v>
      </c>
      <c r="C817" s="23" t="s">
        <v>8926</v>
      </c>
    </row>
    <row r="818" spans="1:9" x14ac:dyDescent="0.35">
      <c r="A818" s="23" t="s">
        <v>4575</v>
      </c>
      <c r="B818" s="42" t="str">
        <f>IFERROR(INDEX(Mots!$B:$B,MATCH($A818,Mots!$A:$A,0)),"introuvable")</f>
        <v>la ligne</v>
      </c>
      <c r="C818" s="23" t="s">
        <v>8927</v>
      </c>
      <c r="I818" s="23" t="s">
        <v>8928</v>
      </c>
    </row>
    <row r="819" spans="1:9" x14ac:dyDescent="0.35">
      <c r="A819" s="23" t="s">
        <v>4587</v>
      </c>
      <c r="B819" s="42" t="str">
        <f>IFERROR(INDEX(Mots!$B:$B,MATCH($A819,Mots!$A:$A,0)),"introuvable")</f>
        <v>la liste</v>
      </c>
      <c r="C819" s="23" t="s">
        <v>8929</v>
      </c>
      <c r="I819" s="23" t="s">
        <v>8930</v>
      </c>
    </row>
    <row r="820" spans="1:9" x14ac:dyDescent="0.35">
      <c r="A820" s="23" t="s">
        <v>4592</v>
      </c>
      <c r="B820" s="42" t="str">
        <f>IFERROR(INDEX(Mots!$B:$B,MATCH($A820,Mots!$A:$A,0)),"introuvable")</f>
        <v>la loi</v>
      </c>
      <c r="C820" s="23" t="s">
        <v>8931</v>
      </c>
    </row>
    <row r="821" spans="1:9" x14ac:dyDescent="0.35">
      <c r="A821" s="23" t="s">
        <v>4608</v>
      </c>
      <c r="B821" s="42" t="str">
        <f>IFERROR(INDEX(Mots!$B:$B,MATCH($A821,Mots!$A:$A,0)),"introuvable")</f>
        <v>la lutte</v>
      </c>
      <c r="C821" s="23" t="s">
        <v>8932</v>
      </c>
    </row>
    <row r="822" spans="1:9" x14ac:dyDescent="0.35">
      <c r="A822" s="23" t="s">
        <v>4630</v>
      </c>
      <c r="B822" s="42" t="str">
        <f>IFERROR(INDEX(Mots!$B:$B,MATCH($A822,Mots!$A:$A,0)),"introuvable")</f>
        <v>la manière</v>
      </c>
      <c r="C822" s="23" t="s">
        <v>8933</v>
      </c>
      <c r="I822" s="23" t="s">
        <v>8934</v>
      </c>
    </row>
    <row r="823" spans="1:9" x14ac:dyDescent="0.35">
      <c r="A823" s="23" t="s">
        <v>4641</v>
      </c>
      <c r="B823" s="42" t="str">
        <f>IFERROR(INDEX(Mots!$B:$B,MATCH($A823,Mots!$A:$A,0)),"introuvable")</f>
        <v>la masse</v>
      </c>
      <c r="C823" s="23" t="s">
        <v>8935</v>
      </c>
    </row>
    <row r="824" spans="1:9" x14ac:dyDescent="0.35">
      <c r="A824" s="23" t="s">
        <v>4645</v>
      </c>
      <c r="B824" s="42" t="str">
        <f>IFERROR(INDEX(Mots!$B:$B,MATCH($A824,Mots!$A:$A,0)),"introuvable")</f>
        <v>la matière</v>
      </c>
      <c r="C824" s="23" t="s">
        <v>8936</v>
      </c>
    </row>
    <row r="825" spans="1:9" x14ac:dyDescent="0.35">
      <c r="A825" s="23" t="s">
        <v>4664</v>
      </c>
      <c r="B825" s="42" t="str">
        <f>IFERROR(INDEX(Mots!$B:$B,MATCH($A825,Mots!$A:$A,0)),"introuvable")</f>
        <v>la moitié</v>
      </c>
      <c r="C825" s="23" t="s">
        <v>8937</v>
      </c>
      <c r="I825" s="23" t="s">
        <v>8938</v>
      </c>
    </row>
    <row r="826" spans="1:9" x14ac:dyDescent="0.35">
      <c r="A826" s="23" t="s">
        <v>1426</v>
      </c>
      <c r="B826" s="42" t="str">
        <f>IFERROR(INDEX(Mots!$B:$B,MATCH($A826,Mots!$A:$A,0)),"introuvable")</f>
        <v>l'intérêt</v>
      </c>
      <c r="C826" s="23" t="s">
        <v>8939</v>
      </c>
    </row>
    <row r="827" spans="1:9" x14ac:dyDescent="0.35">
      <c r="A827" s="23" t="s">
        <v>5000</v>
      </c>
      <c r="B827" s="42" t="str">
        <f>IFERROR(INDEX(Mots!$B:$B,MATCH($A827,Mots!$A:$A,0)),"introuvable")</f>
        <v>la récolte</v>
      </c>
      <c r="C827" s="23" t="s">
        <v>8940</v>
      </c>
      <c r="I827" s="23" t="s">
        <v>8941</v>
      </c>
    </row>
    <row r="828" spans="1:9" x14ac:dyDescent="0.35">
      <c r="A828" s="23" t="s">
        <v>5008</v>
      </c>
      <c r="B828" s="42" t="str">
        <f>IFERROR(INDEX(Mots!$B:$B,MATCH($A828,Mots!$A:$A,0)),"introuvable")</f>
        <v>la réconciliation</v>
      </c>
      <c r="C828" s="23" t="s">
        <v>8942</v>
      </c>
    </row>
    <row r="829" spans="1:9" x14ac:dyDescent="0.35">
      <c r="A829" s="23" t="s">
        <v>5016</v>
      </c>
      <c r="B829" s="42" t="str">
        <f>IFERROR(INDEX(Mots!$B:$B,MATCH($A829,Mots!$A:$A,0)),"introuvable")</f>
        <v>la réparation</v>
      </c>
      <c r="C829" s="23" t="s">
        <v>8943</v>
      </c>
    </row>
    <row r="830" spans="1:9" x14ac:dyDescent="0.35">
      <c r="A830" s="23" t="s">
        <v>5020</v>
      </c>
      <c r="B830" s="42" t="str">
        <f>IFERROR(INDEX(Mots!$B:$B,MATCH($A830,Mots!$A:$A,0)),"introuvable")</f>
        <v>la réponse</v>
      </c>
      <c r="C830" s="23" t="s">
        <v>8944</v>
      </c>
      <c r="I830" s="23" t="s">
        <v>8945</v>
      </c>
    </row>
    <row r="831" spans="1:9" x14ac:dyDescent="0.35">
      <c r="A831" s="23" t="s">
        <v>5024</v>
      </c>
      <c r="B831" s="42" t="str">
        <f>IFERROR(INDEX(Mots!$B:$B,MATCH($A831,Mots!$A:$A,0)),"introuvable")</f>
        <v>la robe</v>
      </c>
      <c r="C831" s="23" t="s">
        <v>8946</v>
      </c>
      <c r="I831" s="23" t="s">
        <v>8947</v>
      </c>
    </row>
    <row r="832" spans="1:9" x14ac:dyDescent="0.35">
      <c r="A832" s="23" t="s">
        <v>5028</v>
      </c>
      <c r="B832" s="42" t="str">
        <f>IFERROR(INDEX(Mots!$B:$B,MATCH($A832,Mots!$A:$A,0)),"introuvable")</f>
        <v>la roche</v>
      </c>
      <c r="C832" s="23" t="s">
        <v>8948</v>
      </c>
    </row>
    <row r="833" spans="1:9" x14ac:dyDescent="0.35">
      <c r="A833" s="23" t="s">
        <v>5036</v>
      </c>
      <c r="B833" s="42" t="str">
        <f>IFERROR(INDEX(Mots!$B:$B,MATCH($A833,Mots!$A:$A,0)),"introuvable")</f>
        <v>la rosée</v>
      </c>
      <c r="C833" s="23" t="s">
        <v>8949</v>
      </c>
    </row>
    <row r="834" spans="1:9" x14ac:dyDescent="0.35">
      <c r="A834" s="23" t="s">
        <v>5041</v>
      </c>
      <c r="B834" s="42" t="str">
        <f>IFERROR(INDEX(Mots!$B:$B,MATCH($A834,Mots!$A:$A,0)),"introuvable")</f>
        <v>la roue</v>
      </c>
      <c r="C834" s="23" t="s">
        <v>8950</v>
      </c>
      <c r="I834" s="23" t="s">
        <v>8951</v>
      </c>
    </row>
    <row r="835" spans="1:9" x14ac:dyDescent="0.35">
      <c r="A835" s="23" t="s">
        <v>5049</v>
      </c>
      <c r="B835" s="42" t="str">
        <f>IFERROR(INDEX(Mots!$B:$B,MATCH($A835,Mots!$A:$A,0)),"introuvable")</f>
        <v>la saleté</v>
      </c>
      <c r="C835" s="23" t="s">
        <v>8952</v>
      </c>
    </row>
    <row r="836" spans="1:9" x14ac:dyDescent="0.35">
      <c r="A836" s="23" t="s">
        <v>5057</v>
      </c>
      <c r="B836" s="42" t="str">
        <f>IFERROR(INDEX(Mots!$B:$B,MATCH($A836,Mots!$A:$A,0)),"introuvable")</f>
        <v>la santé</v>
      </c>
      <c r="C836" s="23" t="s">
        <v>8953</v>
      </c>
      <c r="I836" s="23" t="s">
        <v>8954</v>
      </c>
    </row>
    <row r="837" spans="1:9" x14ac:dyDescent="0.35">
      <c r="A837" s="23" t="s">
        <v>5061</v>
      </c>
      <c r="B837" s="42" t="str">
        <f>IFERROR(INDEX(Mots!$B:$B,MATCH($A837,Mots!$A:$A,0)),"introuvable")</f>
        <v>la sauce</v>
      </c>
      <c r="C837" s="23" t="s">
        <v>8955</v>
      </c>
      <c r="I837" s="23" t="s">
        <v>8956</v>
      </c>
    </row>
    <row r="838" spans="1:9" x14ac:dyDescent="0.35">
      <c r="A838" s="23" t="s">
        <v>5071</v>
      </c>
      <c r="B838" s="42" t="str">
        <f>IFERROR(INDEX(Mots!$B:$B,MATCH($A838,Mots!$A:$A,0)),"introuvable")</f>
        <v>la serviette</v>
      </c>
      <c r="C838" s="23" t="s">
        <v>8957</v>
      </c>
    </row>
    <row r="839" spans="1:9" x14ac:dyDescent="0.35">
      <c r="A839" s="23" t="s">
        <v>5075</v>
      </c>
      <c r="B839" s="42" t="str">
        <f>IFERROR(INDEX(Mots!$B:$B,MATCH($A839,Mots!$A:$A,0)),"introuvable")</f>
        <v>la signature</v>
      </c>
      <c r="C839" s="23" t="s">
        <v>8958</v>
      </c>
      <c r="I839" s="23" t="s">
        <v>8959</v>
      </c>
    </row>
    <row r="840" spans="1:9" x14ac:dyDescent="0.35">
      <c r="A840" s="23" t="s">
        <v>5079</v>
      </c>
      <c r="B840" s="42" t="str">
        <f>IFERROR(INDEX(Mots!$B:$B,MATCH($A840,Mots!$A:$A,0)),"introuvable")</f>
        <v>la situation</v>
      </c>
      <c r="C840" s="23" t="s">
        <v>8960</v>
      </c>
    </row>
    <row r="841" spans="1:9" x14ac:dyDescent="0.35">
      <c r="A841" s="23" t="s">
        <v>5083</v>
      </c>
      <c r="B841" s="42" t="str">
        <f>IFERROR(INDEX(Mots!$B:$B,MATCH($A841,Mots!$A:$A,0)),"introuvable")</f>
        <v>la société</v>
      </c>
      <c r="C841" s="23" t="s">
        <v>8961</v>
      </c>
    </row>
    <row r="842" spans="1:9" x14ac:dyDescent="0.35">
      <c r="A842" s="23" t="s">
        <v>5087</v>
      </c>
      <c r="B842" s="42" t="str">
        <f>IFERROR(INDEX(Mots!$B:$B,MATCH($A842,Mots!$A:$A,0)),"introuvable")</f>
        <v>la somme</v>
      </c>
      <c r="C842" s="23" t="s">
        <v>8962</v>
      </c>
      <c r="I842" s="23" t="s">
        <v>8963</v>
      </c>
    </row>
    <row r="843" spans="1:9" x14ac:dyDescent="0.35">
      <c r="A843" s="23" t="s">
        <v>5091</v>
      </c>
      <c r="B843" s="42" t="str">
        <f>IFERROR(INDEX(Mots!$B:$B,MATCH($A843,Mots!$A:$A,0)),"introuvable")</f>
        <v>la sorte</v>
      </c>
      <c r="C843" s="23" t="s">
        <v>8964</v>
      </c>
      <c r="I843" s="23" t="s">
        <v>8965</v>
      </c>
    </row>
    <row r="844" spans="1:9" x14ac:dyDescent="0.35">
      <c r="A844" s="23" t="s">
        <v>5108</v>
      </c>
      <c r="B844" s="42" t="str">
        <f>IFERROR(INDEX(Mots!$B:$B,MATCH($A844,Mots!$A:$A,0)),"introuvable")</f>
        <v>la surface</v>
      </c>
      <c r="C844" s="23" t="s">
        <v>8966</v>
      </c>
    </row>
    <row r="845" spans="1:9" x14ac:dyDescent="0.35">
      <c r="A845" s="23" t="s">
        <v>5112</v>
      </c>
      <c r="B845" s="42" t="str">
        <f>IFERROR(INDEX(Mots!$B:$B,MATCH($A845,Mots!$A:$A,0)),"introuvable")</f>
        <v>la tâche</v>
      </c>
      <c r="C845" s="23" t="s">
        <v>8967</v>
      </c>
    </row>
    <row r="846" spans="1:9" x14ac:dyDescent="0.35">
      <c r="A846" s="23" t="s">
        <v>5116</v>
      </c>
      <c r="B846" s="42" t="str">
        <f>IFERROR(INDEX(Mots!$B:$B,MATCH($A846,Mots!$A:$A,0)),"introuvable")</f>
        <v>la tempête</v>
      </c>
      <c r="C846" s="23" t="s">
        <v>8968</v>
      </c>
    </row>
    <row r="847" spans="1:9" x14ac:dyDescent="0.35">
      <c r="A847" s="23" t="s">
        <v>5124</v>
      </c>
      <c r="B847" s="42" t="str">
        <f>IFERROR(INDEX(Mots!$B:$B,MATCH($A847,Mots!$A:$A,0)),"introuvable")</f>
        <v>la tendresse</v>
      </c>
      <c r="C847" s="23" t="s">
        <v>8969</v>
      </c>
      <c r="I847" s="23" t="s">
        <v>8970</v>
      </c>
    </row>
    <row r="848" spans="1:9" x14ac:dyDescent="0.35">
      <c r="A848" s="23" t="s">
        <v>5132</v>
      </c>
      <c r="B848" s="42" t="str">
        <f>IFERROR(INDEX(Mots!$B:$B,MATCH($A848,Mots!$A:$A,0)),"introuvable")</f>
        <v>la tente</v>
      </c>
      <c r="C848" s="23" t="s">
        <v>8971</v>
      </c>
      <c r="I848" s="23" t="s">
        <v>8972</v>
      </c>
    </row>
    <row r="849" spans="1:9" x14ac:dyDescent="0.35">
      <c r="A849" s="23" t="s">
        <v>5147</v>
      </c>
      <c r="B849" s="42" t="str">
        <f>IFERROR(INDEX(Mots!$B:$B,MATCH($A849,Mots!$A:$A,0)),"introuvable")</f>
        <v>la toux</v>
      </c>
      <c r="C849" s="23" t="s">
        <v>8973</v>
      </c>
    </row>
    <row r="850" spans="1:9" x14ac:dyDescent="0.35">
      <c r="A850" s="23" t="s">
        <v>5153</v>
      </c>
      <c r="B850" s="42" t="str">
        <f>IFERROR(INDEX(Mots!$B:$B,MATCH($A850,Mots!$A:$A,0)),"introuvable")</f>
        <v>la vague</v>
      </c>
      <c r="C850" s="23" t="s">
        <v>8974</v>
      </c>
    </row>
    <row r="851" spans="1:9" x14ac:dyDescent="0.35">
      <c r="A851" s="23" t="s">
        <v>5161</v>
      </c>
      <c r="B851" s="42" t="str">
        <f>IFERROR(INDEX(Mots!$B:$B,MATCH($A851,Mots!$A:$A,0)),"introuvable")</f>
        <v>la valise</v>
      </c>
      <c r="C851" s="23" t="s">
        <v>8975</v>
      </c>
      <c r="I851" s="23" t="s">
        <v>8976</v>
      </c>
    </row>
    <row r="852" spans="1:9" x14ac:dyDescent="0.35">
      <c r="A852" s="23" t="s">
        <v>5169</v>
      </c>
      <c r="B852" s="42" t="str">
        <f>IFERROR(INDEX(Mots!$B:$B,MATCH($A852,Mots!$A:$A,0)),"introuvable")</f>
        <v>la vallée</v>
      </c>
      <c r="C852" s="23" t="s">
        <v>8977</v>
      </c>
    </row>
    <row r="853" spans="1:9" x14ac:dyDescent="0.35">
      <c r="A853" s="23" t="s">
        <v>5173</v>
      </c>
      <c r="B853" s="42" t="str">
        <f>IFERROR(INDEX(Mots!$B:$B,MATCH($A853,Mots!$A:$A,0)),"introuvable")</f>
        <v>la vente</v>
      </c>
      <c r="C853" s="23" t="s">
        <v>8978</v>
      </c>
    </row>
    <row r="854" spans="1:9" x14ac:dyDescent="0.35">
      <c r="A854" s="23" t="s">
        <v>5186</v>
      </c>
      <c r="B854" s="42" t="str">
        <f>IFERROR(INDEX(Mots!$B:$B,MATCH($A854,Mots!$A:$A,0)),"introuvable")</f>
        <v>la vie</v>
      </c>
      <c r="C854" s="23" t="s">
        <v>8979</v>
      </c>
      <c r="I854" s="23" t="s">
        <v>8980</v>
      </c>
    </row>
    <row r="855" spans="1:9" x14ac:dyDescent="0.35">
      <c r="A855" s="23" t="s">
        <v>5194</v>
      </c>
      <c r="B855" s="42" t="str">
        <f>IFERROR(INDEX(Mots!$B:$B,MATCH($A855,Mots!$A:$A,0)),"introuvable")</f>
        <v>la vis</v>
      </c>
      <c r="C855" s="23" t="s">
        <v>8981</v>
      </c>
      <c r="I855" s="23" t="s">
        <v>8982</v>
      </c>
    </row>
    <row r="856" spans="1:9" x14ac:dyDescent="0.35">
      <c r="A856" s="23" t="s">
        <v>5201</v>
      </c>
      <c r="B856" s="42" t="str">
        <f>IFERROR(INDEX(Mots!$B:$B,MATCH($A856,Mots!$A:$A,0)),"introuvable")</f>
        <v>la visite</v>
      </c>
      <c r="C856" s="23" t="s">
        <v>8983</v>
      </c>
      <c r="I856" s="23" t="s">
        <v>8984</v>
      </c>
    </row>
    <row r="857" spans="1:9" x14ac:dyDescent="0.35">
      <c r="A857" s="23" t="s">
        <v>5204</v>
      </c>
      <c r="B857" s="42" t="str">
        <f>IFERROR(INDEX(Mots!$B:$B,MATCH($A857,Mots!$A:$A,0)),"introuvable")</f>
        <v>la zone</v>
      </c>
      <c r="C857" s="23" t="s">
        <v>8985</v>
      </c>
    </row>
    <row r="858" spans="1:9" x14ac:dyDescent="0.35">
      <c r="A858" s="23" t="s">
        <v>5208</v>
      </c>
      <c r="B858" s="42" t="str">
        <f>IFERROR(INDEX(Mots!$B:$B,MATCH($A858,Mots!$A:$A,0)),"introuvable")</f>
        <v>l'accident</v>
      </c>
      <c r="C858" s="23" t="s">
        <v>8986</v>
      </c>
      <c r="I858" s="23" t="s">
        <v>8987</v>
      </c>
    </row>
    <row r="859" spans="1:9" x14ac:dyDescent="0.35">
      <c r="A859" s="23" t="s">
        <v>5216</v>
      </c>
      <c r="B859" s="42" t="str">
        <f>IFERROR(INDEX(Mots!$B:$B,MATCH($A859,Mots!$A:$A,0)),"introuvable")</f>
        <v>l'accord</v>
      </c>
      <c r="C859" s="23" t="s">
        <v>8988</v>
      </c>
      <c r="I859" s="23" t="s">
        <v>8989</v>
      </c>
    </row>
    <row r="860" spans="1:9" x14ac:dyDescent="0.35">
      <c r="A860" s="23" t="s">
        <v>5224</v>
      </c>
      <c r="B860" s="42" t="str">
        <f>IFERROR(INDEX(Mots!$B:$B,MATCH($A860,Mots!$A:$A,0)),"introuvable")</f>
        <v>l'achat</v>
      </c>
      <c r="C860" s="23" t="s">
        <v>8990</v>
      </c>
      <c r="I860" s="23" t="s">
        <v>8991</v>
      </c>
    </row>
    <row r="861" spans="1:9" x14ac:dyDescent="0.35">
      <c r="A861" s="23" t="s">
        <v>5227</v>
      </c>
      <c r="B861" s="42" t="str">
        <f>IFERROR(INDEX(Mots!$B:$B,MATCH($A861,Mots!$A:$A,0)),"introuvable")</f>
        <v>les affaires</v>
      </c>
      <c r="C861" s="23" t="s">
        <v>8992</v>
      </c>
      <c r="I861" s="23" t="s">
        <v>8993</v>
      </c>
    </row>
    <row r="862" spans="1:9" x14ac:dyDescent="0.35">
      <c r="A862" s="23" t="s">
        <v>5240</v>
      </c>
      <c r="B862" s="42" t="str">
        <f>IFERROR(INDEX(Mots!$B:$B,MATCH($A862,Mots!$A:$A,0)),"introuvable")</f>
        <v>l'agitation</v>
      </c>
      <c r="C862" s="23" t="s">
        <v>8994</v>
      </c>
    </row>
    <row r="863" spans="1:9" x14ac:dyDescent="0.35">
      <c r="A863" s="23" t="s">
        <v>5244</v>
      </c>
      <c r="B863" s="42" t="str">
        <f>IFERROR(INDEX(Mots!$B:$B,MATCH($A863,Mots!$A:$A,0)),"introuvable")</f>
        <v>l'aide</v>
      </c>
      <c r="C863" s="23" t="s">
        <v>8995</v>
      </c>
      <c r="I863" s="23" t="s">
        <v>8996</v>
      </c>
    </row>
    <row r="864" spans="1:9" x14ac:dyDescent="0.35">
      <c r="A864" s="23" t="s">
        <v>5251</v>
      </c>
      <c r="B864" s="42" t="str">
        <f>IFERROR(INDEX(Mots!$B:$B,MATCH($A864,Mots!$A:$A,0)),"introuvable")</f>
        <v>l'aiguille</v>
      </c>
      <c r="C864" s="23" t="s">
        <v>8997</v>
      </c>
    </row>
    <row r="865" spans="1:9" x14ac:dyDescent="0.35">
      <c r="A865" s="23" t="s">
        <v>5259</v>
      </c>
      <c r="B865" s="42" t="str">
        <f>IFERROR(INDEX(Mots!$B:$B,MATCH($A865,Mots!$A:$A,0)),"introuvable")</f>
        <v>l'air</v>
      </c>
      <c r="C865" s="23" t="s">
        <v>8998</v>
      </c>
      <c r="I865" s="23" t="s">
        <v>8999</v>
      </c>
    </row>
    <row r="866" spans="1:9" x14ac:dyDescent="0.35">
      <c r="A866" s="23" t="s">
        <v>5263</v>
      </c>
      <c r="B866" s="42" t="str">
        <f>IFERROR(INDEX(Mots!$B:$B,MATCH($A866,Mots!$A:$A,0)),"introuvable")</f>
        <v>l'allergie</v>
      </c>
      <c r="C866" s="23" t="s">
        <v>9000</v>
      </c>
      <c r="I866" s="23" t="s">
        <v>9001</v>
      </c>
    </row>
    <row r="867" spans="1:9" x14ac:dyDescent="0.35">
      <c r="A867" s="23" t="s">
        <v>5267</v>
      </c>
      <c r="B867" s="42" t="str">
        <f>IFERROR(INDEX(Mots!$B:$B,MATCH($A867,Mots!$A:$A,0)),"introuvable")</f>
        <v>l'allumette</v>
      </c>
      <c r="C867" s="23" t="s">
        <v>9002</v>
      </c>
      <c r="I867" s="23" t="s">
        <v>9003</v>
      </c>
    </row>
    <row r="868" spans="1:9" x14ac:dyDescent="0.35">
      <c r="A868" s="23" t="s">
        <v>9502</v>
      </c>
      <c r="B868" s="42" t="str">
        <f>IFERROR(INDEX(Mots!$B:$B,MATCH($A868,Mots!$A:$A,0)),"introuvable")</f>
        <v>l'amitié</v>
      </c>
      <c r="C868" s="23" t="s">
        <v>9004</v>
      </c>
    </row>
    <row r="869" spans="1:9" x14ac:dyDescent="0.35">
      <c r="A869" s="23" t="s">
        <v>5292</v>
      </c>
      <c r="B869" s="42" t="str">
        <f>IFERROR(INDEX(Mots!$B:$B,MATCH($A869,Mots!$A:$A,0)),"introuvable")</f>
        <v>l'appartement</v>
      </c>
      <c r="C869" s="23" t="s">
        <v>9005</v>
      </c>
    </row>
    <row r="870" spans="1:9" x14ac:dyDescent="0.35">
      <c r="A870" s="23" t="s">
        <v>5300</v>
      </c>
      <c r="B870" s="42" t="str">
        <f>IFERROR(INDEX(Mots!$B:$B,MATCH($A870,Mots!$A:$A,0)),"introuvable")</f>
        <v>l'arc-en-ciel</v>
      </c>
      <c r="C870" s="23" t="s">
        <v>9006</v>
      </c>
    </row>
    <row r="871" spans="1:9" x14ac:dyDescent="0.35">
      <c r="A871" s="23" t="s">
        <v>5304</v>
      </c>
      <c r="B871" s="42" t="str">
        <f>IFERROR(INDEX(Mots!$B:$B,MATCH($A871,Mots!$A:$A,0)),"introuvable")</f>
        <v>l'attention</v>
      </c>
      <c r="C871" s="23" t="s">
        <v>9007</v>
      </c>
      <c r="I871" s="23" t="s">
        <v>9008</v>
      </c>
    </row>
    <row r="872" spans="1:9" x14ac:dyDescent="0.35">
      <c r="A872" s="23" t="s">
        <v>5308</v>
      </c>
      <c r="B872" s="42" t="str">
        <f>IFERROR(INDEX(Mots!$B:$B,MATCH($A872,Mots!$A:$A,0)),"introuvable")</f>
        <v>l'autoroute</v>
      </c>
      <c r="C872" s="23" t="s">
        <v>9009</v>
      </c>
      <c r="I872" s="23" t="s">
        <v>9010</v>
      </c>
    </row>
    <row r="873" spans="1:9" x14ac:dyDescent="0.35">
      <c r="A873" s="23" t="s">
        <v>5316</v>
      </c>
      <c r="B873" s="42" t="str">
        <f>IFERROR(INDEX(Mots!$B:$B,MATCH($A873,Mots!$A:$A,0)),"introuvable")</f>
        <v>l'aventure</v>
      </c>
      <c r="C873" s="23" t="s">
        <v>9011</v>
      </c>
    </row>
    <row r="874" spans="1:9" x14ac:dyDescent="0.35">
      <c r="A874" s="23" t="s">
        <v>5344</v>
      </c>
      <c r="B874" s="42" t="str">
        <f>IFERROR(INDEX(Mots!$B:$B,MATCH($A874,Mots!$A:$A,0)),"introuvable")</f>
        <v>le bagage</v>
      </c>
      <c r="C874" s="23" t="s">
        <v>9012</v>
      </c>
    </row>
    <row r="875" spans="1:9" x14ac:dyDescent="0.35">
      <c r="A875" s="23" t="s">
        <v>5348</v>
      </c>
      <c r="B875" s="42" t="str">
        <f>IFERROR(INDEX(Mots!$B:$B,MATCH($A875,Mots!$A:$A,0)),"introuvable")</f>
        <v>le bain</v>
      </c>
      <c r="C875" s="23" t="s">
        <v>9013</v>
      </c>
      <c r="I875" s="23" t="s">
        <v>9014</v>
      </c>
    </row>
    <row r="876" spans="1:9" x14ac:dyDescent="0.35">
      <c r="A876" s="23" t="s">
        <v>5356</v>
      </c>
      <c r="B876" s="42" t="str">
        <f>IFERROR(INDEX(Mots!$B:$B,MATCH($A876,Mots!$A:$A,0)),"introuvable")</f>
        <v>le balai</v>
      </c>
      <c r="C876" s="23" t="s">
        <v>9015</v>
      </c>
      <c r="I876" s="23" t="s">
        <v>9016</v>
      </c>
    </row>
    <row r="877" spans="1:9" x14ac:dyDescent="0.35">
      <c r="A877" s="23" t="s">
        <v>5364</v>
      </c>
      <c r="B877" s="42" t="str">
        <f>IFERROR(INDEX(Mots!$B:$B,MATCH($A877,Mots!$A:$A,0)),"introuvable")</f>
        <v>le balcon</v>
      </c>
      <c r="C877" s="23" t="s">
        <v>9017</v>
      </c>
    </row>
    <row r="878" spans="1:9" x14ac:dyDescent="0.35">
      <c r="A878" s="23" t="s">
        <v>5372</v>
      </c>
      <c r="B878" s="42" t="str">
        <f>IFERROR(INDEX(Mots!$B:$B,MATCH($A878,Mots!$A:$A,0)),"introuvable")</f>
        <v>le ballon</v>
      </c>
      <c r="C878" s="23" t="s">
        <v>9018</v>
      </c>
      <c r="I878" s="23" t="s">
        <v>9019</v>
      </c>
    </row>
    <row r="879" spans="1:9" x14ac:dyDescent="0.35">
      <c r="A879" s="23" t="s">
        <v>5380</v>
      </c>
      <c r="B879" s="42" t="str">
        <f>IFERROR(INDEX(Mots!$B:$B,MATCH($A879,Mots!$A:$A,0)),"introuvable")</f>
        <v>le bandage</v>
      </c>
      <c r="C879" s="23" t="s">
        <v>9020</v>
      </c>
    </row>
    <row r="880" spans="1:9" x14ac:dyDescent="0.35">
      <c r="A880" s="23" t="s">
        <v>5388</v>
      </c>
      <c r="B880" s="42" t="str">
        <f>IFERROR(INDEX(Mots!$B:$B,MATCH($A880,Mots!$A:$A,0)),"introuvable")</f>
        <v>le bâtiment</v>
      </c>
      <c r="C880" s="23" t="s">
        <v>9021</v>
      </c>
    </row>
    <row r="881" spans="1:9" x14ac:dyDescent="0.35">
      <c r="A881" s="23" t="s">
        <v>5396</v>
      </c>
      <c r="B881" s="42" t="str">
        <f>IFERROR(INDEX(Mots!$B:$B,MATCH($A881,Mots!$A:$A,0)),"introuvable")</f>
        <v>le besoin</v>
      </c>
      <c r="C881" s="23" t="s">
        <v>9022</v>
      </c>
      <c r="I881" s="23" t="s">
        <v>9023</v>
      </c>
    </row>
    <row r="882" spans="1:9" x14ac:dyDescent="0.35">
      <c r="A882" s="23" t="s">
        <v>5401</v>
      </c>
      <c r="B882" s="42" t="str">
        <f>IFERROR(INDEX(Mots!$B:$B,MATCH($A882,Mots!$A:$A,0)),"introuvable")</f>
        <v>le beurre</v>
      </c>
      <c r="C882" s="23" t="s">
        <v>9024</v>
      </c>
      <c r="I882" s="23" t="s">
        <v>9025</v>
      </c>
    </row>
    <row r="883" spans="1:9" x14ac:dyDescent="0.35">
      <c r="A883" s="23" t="s">
        <v>5407</v>
      </c>
      <c r="B883" s="42" t="str">
        <f>IFERROR(INDEX(Mots!$B:$B,MATCH($A883,Mots!$A:$A,0)),"introuvable")</f>
        <v>le billet</v>
      </c>
      <c r="C883" s="23" t="s">
        <v>9026</v>
      </c>
      <c r="I883" s="23" t="s">
        <v>9027</v>
      </c>
    </row>
    <row r="884" spans="1:9" x14ac:dyDescent="0.35">
      <c r="A884" s="23" t="s">
        <v>5413</v>
      </c>
      <c r="B884" s="42" t="str">
        <f>IFERROR(INDEX(Mots!$B:$B,MATCH($A884,Mots!$A:$A,0)),"introuvable")</f>
        <v>le blé</v>
      </c>
      <c r="C884" s="23" t="s">
        <v>9028</v>
      </c>
      <c r="I884" s="23" t="s">
        <v>9029</v>
      </c>
    </row>
    <row r="885" spans="1:9" x14ac:dyDescent="0.35">
      <c r="A885" s="23" t="s">
        <v>5421</v>
      </c>
      <c r="B885" s="42" t="str">
        <f>IFERROR(INDEX(Mots!$B:$B,MATCH($A885,Mots!$A:$A,0)),"introuvable")</f>
        <v>le bocal</v>
      </c>
      <c r="C885" s="23" t="s">
        <v>9030</v>
      </c>
    </row>
    <row r="886" spans="1:9" x14ac:dyDescent="0.35">
      <c r="A886" s="23" t="s">
        <v>5429</v>
      </c>
      <c r="B886" s="42" t="str">
        <f>IFERROR(INDEX(Mots!$B:$B,MATCH($A886,Mots!$A:$A,0)),"introuvable")</f>
        <v>le bois</v>
      </c>
      <c r="C886" s="23" t="s">
        <v>9031</v>
      </c>
      <c r="I886" s="23" t="s">
        <v>9032</v>
      </c>
    </row>
    <row r="887" spans="1:9" x14ac:dyDescent="0.35">
      <c r="A887" s="23" t="s">
        <v>5437</v>
      </c>
      <c r="B887" s="42" t="str">
        <f>IFERROR(INDEX(Mots!$B:$B,MATCH($A887,Mots!$A:$A,0)),"introuvable")</f>
        <v>le bonbon</v>
      </c>
      <c r="C887" s="23" t="s">
        <v>9033</v>
      </c>
    </row>
    <row r="888" spans="1:9" x14ac:dyDescent="0.35">
      <c r="A888" s="23" t="s">
        <v>5450</v>
      </c>
      <c r="B888" s="42" t="str">
        <f>IFERROR(INDEX(Mots!$B:$B,MATCH($A888,Mots!$A:$A,0)),"introuvable")</f>
        <v>le bourgeon</v>
      </c>
      <c r="C888" s="23" t="s">
        <v>9034</v>
      </c>
    </row>
    <row r="889" spans="1:9" x14ac:dyDescent="0.35">
      <c r="A889" s="23" t="s">
        <v>5458</v>
      </c>
      <c r="B889" s="42" t="str">
        <f>IFERROR(INDEX(Mots!$B:$B,MATCH($A889,Mots!$A:$A,0)),"introuvable")</f>
        <v>le bout</v>
      </c>
      <c r="C889" s="23" t="s">
        <v>9035</v>
      </c>
      <c r="I889" s="23" t="s">
        <v>9036</v>
      </c>
    </row>
    <row r="890" spans="1:9" x14ac:dyDescent="0.35">
      <c r="A890" s="23" t="s">
        <v>5462</v>
      </c>
      <c r="B890" s="42" t="str">
        <f>IFERROR(INDEX(Mots!$B:$B,MATCH($A890,Mots!$A:$A,0)),"introuvable")</f>
        <v>le bouton</v>
      </c>
      <c r="C890" s="23" t="s">
        <v>9037</v>
      </c>
      <c r="I890" s="23" t="s">
        <v>9038</v>
      </c>
    </row>
    <row r="891" spans="1:9" x14ac:dyDescent="0.35">
      <c r="A891" s="23" t="s">
        <v>5466</v>
      </c>
      <c r="B891" s="42" t="str">
        <f>IFERROR(INDEX(Mots!$B:$B,MATCH($A891,Mots!$A:$A,0)),"introuvable")</f>
        <v>le bricolage</v>
      </c>
      <c r="C891" s="23" t="s">
        <v>9039</v>
      </c>
      <c r="I891" s="23" t="s">
        <v>9040</v>
      </c>
    </row>
    <row r="892" spans="1:9" x14ac:dyDescent="0.35">
      <c r="A892" s="23" t="s">
        <v>5474</v>
      </c>
      <c r="B892" s="42" t="str">
        <f>IFERROR(INDEX(Mots!$B:$B,MATCH($A892,Mots!$A:$A,0)),"introuvable")</f>
        <v>le brin</v>
      </c>
      <c r="C892" s="23" t="s">
        <v>9041</v>
      </c>
      <c r="I892" s="23" t="s">
        <v>9042</v>
      </c>
    </row>
    <row r="893" spans="1:9" x14ac:dyDescent="0.35">
      <c r="A893" s="23" t="s">
        <v>5482</v>
      </c>
      <c r="B893" s="42" t="str">
        <f>IFERROR(INDEX(Mots!$B:$B,MATCH($A893,Mots!$A:$A,0)),"introuvable")</f>
        <v>le brouillard</v>
      </c>
      <c r="C893" s="23" t="s">
        <v>9043</v>
      </c>
    </row>
    <row r="894" spans="1:9" x14ac:dyDescent="0.35">
      <c r="A894" s="23" t="s">
        <v>5490</v>
      </c>
      <c r="B894" s="42" t="str">
        <f>IFERROR(INDEX(Mots!$B:$B,MATCH($A894,Mots!$A:$A,0)),"introuvable")</f>
        <v>le bruit</v>
      </c>
      <c r="C894" s="23" t="s">
        <v>9044</v>
      </c>
      <c r="I894" s="23" t="s">
        <v>9045</v>
      </c>
    </row>
    <row r="895" spans="1:9" x14ac:dyDescent="0.35">
      <c r="A895" s="23" t="s">
        <v>5496</v>
      </c>
      <c r="B895" s="42" t="str">
        <f>IFERROR(INDEX(Mots!$B:$B,MATCH($A895,Mots!$A:$A,0)),"introuvable")</f>
        <v>le buisson</v>
      </c>
      <c r="C895" s="23" t="s">
        <v>9046</v>
      </c>
    </row>
    <row r="896" spans="1:9" x14ac:dyDescent="0.35">
      <c r="A896" s="23" t="s">
        <v>5512</v>
      </c>
      <c r="B896" s="42" t="str">
        <f>IFERROR(INDEX(Mots!$B:$B,MATCH($A896,Mots!$A:$A,0)),"introuvable")</f>
        <v>le cadeau</v>
      </c>
      <c r="C896" s="23" t="s">
        <v>9047</v>
      </c>
      <c r="I896" s="23" t="s">
        <v>9048</v>
      </c>
    </row>
    <row r="897" spans="1:9" x14ac:dyDescent="0.35">
      <c r="A897" s="23" t="s">
        <v>5520</v>
      </c>
      <c r="B897" s="42" t="str">
        <f>IFERROR(INDEX(Mots!$B:$B,MATCH($A897,Mots!$A:$A,0)),"introuvable")</f>
        <v>le cahier</v>
      </c>
      <c r="C897" s="23" t="s">
        <v>9049</v>
      </c>
    </row>
    <row r="898" spans="1:9" x14ac:dyDescent="0.35">
      <c r="A898" s="23" t="s">
        <v>5532</v>
      </c>
      <c r="B898" s="42" t="str">
        <f>IFERROR(INDEX(Mots!$B:$B,MATCH($A898,Mots!$A:$A,0)),"introuvable")</f>
        <v>le calme</v>
      </c>
      <c r="C898" s="23" t="s">
        <v>9050</v>
      </c>
      <c r="I898" s="23" t="s">
        <v>9051</v>
      </c>
    </row>
    <row r="899" spans="1:9" x14ac:dyDescent="0.35">
      <c r="A899" s="23" t="s">
        <v>5544</v>
      </c>
      <c r="B899" s="42" t="str">
        <f>IFERROR(INDEX(Mots!$B:$B,MATCH($A899,Mots!$A:$A,0)),"introuvable")</f>
        <v>le caoutchouc</v>
      </c>
      <c r="C899" s="23" t="s">
        <v>9052</v>
      </c>
    </row>
    <row r="900" spans="1:9" x14ac:dyDescent="0.35">
      <c r="A900" s="23" t="s">
        <v>5549</v>
      </c>
      <c r="B900" s="42" t="str">
        <f>IFERROR(INDEX(Mots!$B:$B,MATCH($A900,Mots!$A:$A,0)),"introuvable")</f>
        <v>le carnet</v>
      </c>
      <c r="C900" s="23" t="s">
        <v>9053</v>
      </c>
    </row>
    <row r="901" spans="1:9" x14ac:dyDescent="0.35">
      <c r="A901" s="23" t="s">
        <v>5557</v>
      </c>
      <c r="B901" s="42" t="str">
        <f>IFERROR(INDEX(Mots!$B:$B,MATCH($A901,Mots!$A:$A,0)),"introuvable")</f>
        <v>le cas</v>
      </c>
      <c r="C901" s="23" t="s">
        <v>9054</v>
      </c>
      <c r="I901" s="23" t="s">
        <v>9055</v>
      </c>
    </row>
    <row r="902" spans="1:9" x14ac:dyDescent="0.35">
      <c r="A902" s="23" t="s">
        <v>5575</v>
      </c>
      <c r="B902" s="42" t="str">
        <f>IFERROR(INDEX(Mots!$B:$B,MATCH($A902,Mots!$A:$A,0)),"introuvable")</f>
        <v>le champ</v>
      </c>
      <c r="C902" s="23" t="s">
        <v>9056</v>
      </c>
    </row>
    <row r="903" spans="1:9" x14ac:dyDescent="0.35">
      <c r="A903" s="23" t="s">
        <v>5583</v>
      </c>
      <c r="B903" s="42" t="str">
        <f>IFERROR(INDEX(Mots!$B:$B,MATCH($A903,Mots!$A:$A,0)),"introuvable")</f>
        <v>le champignon</v>
      </c>
      <c r="C903" s="23" t="s">
        <v>9057</v>
      </c>
      <c r="I903" s="23" t="s">
        <v>9058</v>
      </c>
    </row>
    <row r="904" spans="1:9" x14ac:dyDescent="0.35">
      <c r="A904" s="23" t="s">
        <v>5591</v>
      </c>
      <c r="B904" s="42" t="str">
        <f>IFERROR(INDEX(Mots!$B:$B,MATCH($A904,Mots!$A:$A,0)),"introuvable")</f>
        <v>le champion</v>
      </c>
      <c r="C904" s="23" t="s">
        <v>9059</v>
      </c>
    </row>
    <row r="905" spans="1:9" x14ac:dyDescent="0.35">
      <c r="A905" s="23" t="s">
        <v>5599</v>
      </c>
      <c r="B905" s="42" t="str">
        <f>IFERROR(INDEX(Mots!$B:$B,MATCH($A905,Mots!$A:$A,0)),"introuvable")</f>
        <v>le chapeau</v>
      </c>
      <c r="C905" s="23" t="s">
        <v>9060</v>
      </c>
      <c r="I905" s="23" t="s">
        <v>9061</v>
      </c>
    </row>
    <row r="906" spans="1:9" x14ac:dyDescent="0.35">
      <c r="A906" s="23" t="s">
        <v>5603</v>
      </c>
      <c r="B906" s="42" t="str">
        <f>IFERROR(INDEX(Mots!$B:$B,MATCH($A906,Mots!$A:$A,0)),"introuvable")</f>
        <v>le chemin</v>
      </c>
      <c r="C906" s="23" t="s">
        <v>9062</v>
      </c>
      <c r="I906" s="23" t="s">
        <v>9063</v>
      </c>
    </row>
    <row r="907" spans="1:9" x14ac:dyDescent="0.35">
      <c r="A907" s="23" t="s">
        <v>5608</v>
      </c>
      <c r="B907" s="42" t="str">
        <f>IFERROR(INDEX(Mots!$B:$B,MATCH($A907,Mots!$A:$A,0)),"introuvable")</f>
        <v>le choc</v>
      </c>
      <c r="C907" s="23" t="s">
        <v>9064</v>
      </c>
    </row>
    <row r="908" spans="1:9" x14ac:dyDescent="0.35">
      <c r="A908" s="23" t="s">
        <v>5615</v>
      </c>
      <c r="B908" s="42" t="str">
        <f>IFERROR(INDEX(Mots!$B:$B,MATCH($A908,Mots!$A:$A,0)),"introuvable")</f>
        <v>le chocolat</v>
      </c>
      <c r="C908" s="23" t="s">
        <v>9065</v>
      </c>
      <c r="I908" s="23" t="s">
        <v>9066</v>
      </c>
    </row>
    <row r="909" spans="1:9" x14ac:dyDescent="0.35">
      <c r="A909" s="23" t="s">
        <v>5623</v>
      </c>
      <c r="B909" s="42" t="str">
        <f>IFERROR(INDEX(Mots!$B:$B,MATCH($A909,Mots!$A:$A,0)),"introuvable")</f>
        <v>le cintre</v>
      </c>
      <c r="C909" s="23" t="s">
        <v>9067</v>
      </c>
    </row>
    <row r="910" spans="1:9" x14ac:dyDescent="0.35">
      <c r="A910" s="23" t="s">
        <v>5631</v>
      </c>
      <c r="B910" s="42" t="str">
        <f>IFERROR(INDEX(Mots!$B:$B,MATCH($A910,Mots!$A:$A,0)),"introuvable")</f>
        <v>le citron</v>
      </c>
      <c r="C910" s="23" t="s">
        <v>9068</v>
      </c>
      <c r="I910" s="23" t="s">
        <v>9069</v>
      </c>
    </row>
    <row r="911" spans="1:9" x14ac:dyDescent="0.35">
      <c r="A911" s="23" t="s">
        <v>5639</v>
      </c>
      <c r="B911" s="42" t="str">
        <f>IFERROR(INDEX(Mots!$B:$B,MATCH($A911,Mots!$A:$A,0)),"introuvable")</f>
        <v>le clou</v>
      </c>
      <c r="C911" s="23" t="s">
        <v>9070</v>
      </c>
      <c r="I911" s="23" t="s">
        <v>9071</v>
      </c>
    </row>
    <row r="912" spans="1:9" x14ac:dyDescent="0.35">
      <c r="A912" s="23" t="s">
        <v>5643</v>
      </c>
      <c r="B912" s="42" t="str">
        <f>IFERROR(INDEX(Mots!$B:$B,MATCH($A912,Mots!$A:$A,0)),"introuvable")</f>
        <v>le combat</v>
      </c>
      <c r="C912" s="23" t="s">
        <v>9072</v>
      </c>
    </row>
    <row r="913" spans="1:9" x14ac:dyDescent="0.35">
      <c r="A913" s="23" t="s">
        <v>5646</v>
      </c>
      <c r="B913" s="42" t="str">
        <f>IFERROR(INDEX(Mots!$B:$B,MATCH($A913,Mots!$A:$A,0)),"introuvable")</f>
        <v>le commerce</v>
      </c>
      <c r="C913" s="23" t="s">
        <v>9073</v>
      </c>
    </row>
    <row r="914" spans="1:9" x14ac:dyDescent="0.35">
      <c r="A914" s="23" t="s">
        <v>5650</v>
      </c>
      <c r="B914" s="42" t="str">
        <f>IFERROR(INDEX(Mots!$B:$B,MATCH($A914,Mots!$A:$A,0)),"introuvable")</f>
        <v>le complice</v>
      </c>
      <c r="C914" s="23" t="s">
        <v>9074</v>
      </c>
    </row>
    <row r="915" spans="1:9" x14ac:dyDescent="0.35">
      <c r="A915" s="23" t="s">
        <v>5655</v>
      </c>
      <c r="B915" s="42" t="str">
        <f>IFERROR(INDEX(Mots!$B:$B,MATCH($A915,Mots!$A:$A,0)),"introuvable")</f>
        <v>le comprimé</v>
      </c>
      <c r="C915" s="23" t="s">
        <v>9075</v>
      </c>
      <c r="I915" s="23" t="s">
        <v>9076</v>
      </c>
    </row>
    <row r="916" spans="1:9" x14ac:dyDescent="0.35">
      <c r="A916" s="23" t="s">
        <v>5663</v>
      </c>
      <c r="B916" s="42" t="str">
        <f>IFERROR(INDEX(Mots!$B:$B,MATCH($A916,Mots!$A:$A,0)),"introuvable")</f>
        <v>le concours</v>
      </c>
      <c r="C916" s="23" t="s">
        <v>9077</v>
      </c>
      <c r="I916" s="23" t="s">
        <v>9078</v>
      </c>
    </row>
    <row r="917" spans="1:9" x14ac:dyDescent="0.35">
      <c r="A917" s="23" t="s">
        <v>5876</v>
      </c>
      <c r="B917" s="42" t="str">
        <f>IFERROR(INDEX(Mots!$B:$B,MATCH($A917,Mots!$A:$A,0)),"introuvable")</f>
        <v>le jeu</v>
      </c>
      <c r="C917" s="23" t="s">
        <v>9079</v>
      </c>
    </row>
    <row r="918" spans="1:9" x14ac:dyDescent="0.35">
      <c r="A918" s="23" t="s">
        <v>5881</v>
      </c>
      <c r="B918" s="42" t="str">
        <f>IFERROR(INDEX(Mots!$B:$B,MATCH($A918,Mots!$A:$A,0)),"introuvable")</f>
        <v>le jouet</v>
      </c>
      <c r="C918" s="23" t="s">
        <v>9080</v>
      </c>
    </row>
    <row r="919" spans="1:9" x14ac:dyDescent="0.35">
      <c r="A919" s="23" t="s">
        <v>5885</v>
      </c>
      <c r="B919" s="42" t="str">
        <f>IFERROR(INDEX(Mots!$B:$B,MATCH($A919,Mots!$A:$A,0)),"introuvable")</f>
        <v>le jus</v>
      </c>
      <c r="C919" s="23" t="s">
        <v>9081</v>
      </c>
      <c r="I919" s="23" t="s">
        <v>9082</v>
      </c>
    </row>
    <row r="920" spans="1:9" x14ac:dyDescent="0.35">
      <c r="A920" s="23" t="s">
        <v>5893</v>
      </c>
      <c r="B920" s="42" t="str">
        <f>IFERROR(INDEX(Mots!$B:$B,MATCH($A920,Mots!$A:$A,0)),"introuvable")</f>
        <v>le lac</v>
      </c>
      <c r="C920" s="23" t="s">
        <v>9083</v>
      </c>
      <c r="I920" s="23" t="s">
        <v>9084</v>
      </c>
    </row>
    <row r="921" spans="1:9" x14ac:dyDescent="0.35">
      <c r="A921" s="23" t="s">
        <v>5897</v>
      </c>
      <c r="B921" s="42" t="str">
        <f>IFERROR(INDEX(Mots!$B:$B,MATCH($A921,Mots!$A:$A,0)),"introuvable")</f>
        <v>les produits laitiers</v>
      </c>
      <c r="C921" s="23" t="s">
        <v>9085</v>
      </c>
    </row>
    <row r="922" spans="1:9" x14ac:dyDescent="0.35">
      <c r="A922" s="23" t="s">
        <v>5902</v>
      </c>
      <c r="B922" s="42" t="str">
        <f>IFERROR(INDEX(Mots!$B:$B,MATCH($A922,Mots!$A:$A,0)),"introuvable")</f>
        <v>le lien</v>
      </c>
      <c r="C922" s="23" t="s">
        <v>9086</v>
      </c>
      <c r="I922" s="23" t="s">
        <v>9087</v>
      </c>
    </row>
    <row r="923" spans="1:9" x14ac:dyDescent="0.35">
      <c r="A923" s="23" t="s">
        <v>5905</v>
      </c>
      <c r="B923" s="42" t="str">
        <f>IFERROR(INDEX(Mots!$B:$B,MATCH($A923,Mots!$A:$A,0)),"introuvable")</f>
        <v>le liquide</v>
      </c>
      <c r="C923" s="23" t="s">
        <v>9088</v>
      </c>
    </row>
    <row r="924" spans="1:9" x14ac:dyDescent="0.35">
      <c r="A924" s="23" t="s">
        <v>5912</v>
      </c>
      <c r="B924" s="42" t="str">
        <f>IFERROR(INDEX(Mots!$B:$B,MATCH($A924,Mots!$A:$A,0)),"introuvable")</f>
        <v>le livre</v>
      </c>
      <c r="C924" s="23" t="s">
        <v>9089</v>
      </c>
      <c r="I924" s="23" t="s">
        <v>9090</v>
      </c>
    </row>
    <row r="925" spans="1:9" x14ac:dyDescent="0.35">
      <c r="A925" s="23" t="s">
        <v>5923</v>
      </c>
      <c r="B925" s="42" t="str">
        <f>IFERROR(INDEX(Mots!$B:$B,MATCH($A925,Mots!$A:$A,0)),"introuvable")</f>
        <v>le maître</v>
      </c>
      <c r="C925" s="23" t="s">
        <v>9091</v>
      </c>
    </row>
    <row r="926" spans="1:9" x14ac:dyDescent="0.35">
      <c r="A926" s="23" t="s">
        <v>5931</v>
      </c>
      <c r="B926" s="42" t="str">
        <f>IFERROR(INDEX(Mots!$B:$B,MATCH($A926,Mots!$A:$A,0)),"introuvable")</f>
        <v>le manteau</v>
      </c>
      <c r="C926" s="23" t="s">
        <v>9092</v>
      </c>
      <c r="I926" s="23" t="s">
        <v>9093</v>
      </c>
    </row>
    <row r="927" spans="1:9" x14ac:dyDescent="0.35">
      <c r="A927" s="23" t="s">
        <v>5935</v>
      </c>
      <c r="B927" s="42" t="str">
        <f>IFERROR(INDEX(Mots!$B:$B,MATCH($A927,Mots!$A:$A,0)),"introuvable")</f>
        <v>le marteau</v>
      </c>
      <c r="C927" s="23" t="s">
        <v>9094</v>
      </c>
      <c r="I927" s="23" t="s">
        <v>9095</v>
      </c>
    </row>
    <row r="928" spans="1:9" x14ac:dyDescent="0.35">
      <c r="A928" s="23" t="s">
        <v>5943</v>
      </c>
      <c r="B928" s="42" t="str">
        <f>IFERROR(INDEX(Mots!$B:$B,MATCH($A928,Mots!$A:$A,0)),"introuvable")</f>
        <v>le match</v>
      </c>
      <c r="C928" s="23" t="s">
        <v>9096</v>
      </c>
      <c r="I928" s="23" t="s">
        <v>9097</v>
      </c>
    </row>
    <row r="929" spans="1:9" x14ac:dyDescent="0.35">
      <c r="A929" s="23" t="s">
        <v>5951</v>
      </c>
      <c r="B929" s="42" t="str">
        <f>IFERROR(INDEX(Mots!$B:$B,MATCH($A929,Mots!$A:$A,0)),"introuvable")</f>
        <v>le médicament</v>
      </c>
      <c r="C929" s="23" t="s">
        <v>9098</v>
      </c>
      <c r="I929" s="23" t="s">
        <v>9099</v>
      </c>
    </row>
    <row r="930" spans="1:9" x14ac:dyDescent="0.35">
      <c r="A930" s="23" t="s">
        <v>5959</v>
      </c>
      <c r="B930" s="42" t="str">
        <f>IFERROR(INDEX(Mots!$B:$B,MATCH($A930,Mots!$A:$A,0)),"introuvable")</f>
        <v>le mélange</v>
      </c>
      <c r="C930" s="23" t="s">
        <v>9100</v>
      </c>
    </row>
    <row r="931" spans="1:9" x14ac:dyDescent="0.35">
      <c r="A931" s="23" t="s">
        <v>5970</v>
      </c>
      <c r="B931" s="42" t="str">
        <f>IFERROR(INDEX(Mots!$B:$B,MATCH($A931,Mots!$A:$A,0)),"introuvable")</f>
        <v>le métal</v>
      </c>
      <c r="C931" s="23" t="s">
        <v>9101</v>
      </c>
      <c r="I931" s="23" t="s">
        <v>9102</v>
      </c>
    </row>
    <row r="932" spans="1:9" x14ac:dyDescent="0.35">
      <c r="A932" s="23" t="s">
        <v>5974</v>
      </c>
      <c r="B932" s="42" t="str">
        <f>IFERROR(INDEX(Mots!$B:$B,MATCH($A932,Mots!$A:$A,0)),"introuvable")</f>
        <v>le miel</v>
      </c>
      <c r="C932" s="23" t="s">
        <v>9103</v>
      </c>
      <c r="I932" s="23" t="s">
        <v>9104</v>
      </c>
    </row>
    <row r="933" spans="1:9" x14ac:dyDescent="0.35">
      <c r="A933" s="23" t="s">
        <v>5978</v>
      </c>
      <c r="B933" s="42" t="str">
        <f>IFERROR(INDEX(Mots!$B:$B,MATCH($A933,Mots!$A:$A,0)),"introuvable")</f>
        <v>le milieu</v>
      </c>
      <c r="C933" s="23" t="s">
        <v>9105</v>
      </c>
      <c r="I933" s="23" t="s">
        <v>9106</v>
      </c>
    </row>
    <row r="934" spans="1:9" x14ac:dyDescent="0.35">
      <c r="A934" s="23" t="s">
        <v>5987</v>
      </c>
      <c r="B934" s="42" t="str">
        <f>IFERROR(INDEX(Mots!$B:$B,MATCH($A934,Mots!$A:$A,0)),"introuvable")</f>
        <v>le monde</v>
      </c>
      <c r="C934" s="23" t="s">
        <v>9107</v>
      </c>
      <c r="I934" s="23" t="s">
        <v>9108</v>
      </c>
    </row>
    <row r="935" spans="1:9" x14ac:dyDescent="0.35">
      <c r="A935" s="23" t="s">
        <v>5990</v>
      </c>
      <c r="B935" s="42" t="str">
        <f>IFERROR(INDEX(Mots!$B:$B,MATCH($A935,Mots!$A:$A,0)),"introuvable")</f>
        <v>le morceau</v>
      </c>
      <c r="C935" s="23" t="s">
        <v>9109</v>
      </c>
      <c r="I935" s="23" t="s">
        <v>9110</v>
      </c>
    </row>
    <row r="936" spans="1:9" x14ac:dyDescent="0.35">
      <c r="A936" s="23" t="s">
        <v>5996</v>
      </c>
      <c r="B936" s="42" t="str">
        <f>IFERROR(INDEX(Mots!$B:$B,MATCH($A936,Mots!$A:$A,0)),"introuvable")</f>
        <v>le moteur</v>
      </c>
      <c r="C936" s="23" t="s">
        <v>9111</v>
      </c>
    </row>
    <row r="937" spans="1:9" x14ac:dyDescent="0.35">
      <c r="A937" s="23" t="s">
        <v>6004</v>
      </c>
      <c r="B937" s="42" t="str">
        <f>IFERROR(INDEX(Mots!$B:$B,MATCH($A937,Mots!$A:$A,0)),"introuvable")</f>
        <v>le mouvement</v>
      </c>
      <c r="C937" s="23" t="s">
        <v>9112</v>
      </c>
    </row>
    <row r="938" spans="1:9" x14ac:dyDescent="0.35">
      <c r="A938" s="23" t="s">
        <v>6016</v>
      </c>
      <c r="B938" s="42" t="str">
        <f>IFERROR(INDEX(Mots!$B:$B,MATCH($A938,Mots!$A:$A,0)),"introuvable")</f>
        <v>le niveau</v>
      </c>
      <c r="C938" s="23" t="s">
        <v>9113</v>
      </c>
    </row>
    <row r="939" spans="1:9" x14ac:dyDescent="0.35">
      <c r="A939" s="23" t="s">
        <v>6023</v>
      </c>
      <c r="B939" s="42" t="str">
        <f>IFERROR(INDEX(Mots!$B:$B,MATCH($A939,Mots!$A:$A,0)),"introuvable")</f>
        <v>le nombre</v>
      </c>
      <c r="C939" s="23" t="s">
        <v>9114</v>
      </c>
    </row>
    <row r="940" spans="1:9" x14ac:dyDescent="0.35">
      <c r="A940" s="23" t="s">
        <v>6027</v>
      </c>
      <c r="B940" s="42" t="str">
        <f>IFERROR(INDEX(Mots!$B:$B,MATCH($A940,Mots!$A:$A,0)),"introuvable")</f>
        <v>le noyau</v>
      </c>
      <c r="C940" s="23" t="s">
        <v>9115</v>
      </c>
    </row>
    <row r="941" spans="1:9" x14ac:dyDescent="0.35">
      <c r="A941" s="23" t="s">
        <v>6035</v>
      </c>
      <c r="B941" s="42" t="str">
        <f>IFERROR(INDEX(Mots!$B:$B,MATCH($A941,Mots!$A:$A,0)),"introuvable")</f>
        <v>le nuage</v>
      </c>
      <c r="C941" s="23" t="s">
        <v>9116</v>
      </c>
    </row>
    <row r="942" spans="1:9" x14ac:dyDescent="0.35">
      <c r="A942" s="23" t="s">
        <v>6047</v>
      </c>
      <c r="B942" s="42" t="str">
        <f>IFERROR(INDEX(Mots!$B:$B,MATCH($A942,Mots!$A:$A,0)),"introuvable")</f>
        <v>le panier</v>
      </c>
      <c r="C942" s="23" t="s">
        <v>9117</v>
      </c>
      <c r="I942" s="23" t="s">
        <v>9118</v>
      </c>
    </row>
    <row r="943" spans="1:9" x14ac:dyDescent="0.35">
      <c r="A943" s="23" t="s">
        <v>6055</v>
      </c>
      <c r="B943" s="42" t="str">
        <f>IFERROR(INDEX(Mots!$B:$B,MATCH($A943,Mots!$A:$A,0)),"introuvable")</f>
        <v>le panneau</v>
      </c>
      <c r="C943" s="23" t="s">
        <v>9119</v>
      </c>
    </row>
    <row r="944" spans="1:9" x14ac:dyDescent="0.35">
      <c r="A944" s="23" t="s">
        <v>6059</v>
      </c>
      <c r="B944" s="42" t="str">
        <f>IFERROR(INDEX(Mots!$B:$B,MATCH($A944,Mots!$A:$A,0)),"introuvable")</f>
        <v>le pansement</v>
      </c>
      <c r="C944" s="23" t="s">
        <v>9120</v>
      </c>
      <c r="I944" s="23" t="s">
        <v>9121</v>
      </c>
    </row>
    <row r="945" spans="1:9" x14ac:dyDescent="0.35">
      <c r="A945" s="23" t="s">
        <v>6067</v>
      </c>
      <c r="B945" s="42" t="str">
        <f>IFERROR(INDEX(Mots!$B:$B,MATCH($A945,Mots!$A:$A,0)),"introuvable")</f>
        <v>le papier</v>
      </c>
      <c r="C945" s="23" t="s">
        <v>9122</v>
      </c>
      <c r="I945" s="23" t="s">
        <v>9123</v>
      </c>
    </row>
    <row r="946" spans="1:9" x14ac:dyDescent="0.35">
      <c r="A946" s="23" t="s">
        <v>6075</v>
      </c>
      <c r="B946" s="42" t="str">
        <f>IFERROR(INDEX(Mots!$B:$B,MATCH($A946,Mots!$A:$A,0)),"introuvable")</f>
        <v>le parapluie</v>
      </c>
      <c r="C946" s="23" t="s">
        <v>9124</v>
      </c>
      <c r="I946" s="23" t="s">
        <v>9125</v>
      </c>
    </row>
    <row r="947" spans="1:9" x14ac:dyDescent="0.35">
      <c r="A947" s="23" t="s">
        <v>6104</v>
      </c>
      <c r="B947" s="42" t="str">
        <f>IFERROR(INDEX(Mots!$B:$B,MATCH($A947,Mots!$A:$A,0)),"introuvable")</f>
        <v>le pays</v>
      </c>
      <c r="C947" s="23" t="s">
        <v>9126</v>
      </c>
    </row>
    <row r="948" spans="1:9" x14ac:dyDescent="0.35">
      <c r="A948" s="23" t="s">
        <v>6112</v>
      </c>
      <c r="B948" s="42" t="str">
        <f>IFERROR(INDEX(Mots!$B:$B,MATCH($A948,Mots!$A:$A,0)),"introuvable")</f>
        <v>le paysage</v>
      </c>
      <c r="C948" s="23" t="s">
        <v>9127</v>
      </c>
    </row>
    <row r="949" spans="1:9" x14ac:dyDescent="0.35">
      <c r="A949" s="23" t="s">
        <v>6116</v>
      </c>
      <c r="B949" s="42" t="str">
        <f>IFERROR(INDEX(Mots!$B:$B,MATCH($A949,Mots!$A:$A,0)),"introuvable")</f>
        <v>le permis</v>
      </c>
      <c r="C949" s="23" t="s">
        <v>9128</v>
      </c>
      <c r="I949" s="23" t="s">
        <v>9129</v>
      </c>
    </row>
    <row r="950" spans="1:9" x14ac:dyDescent="0.35">
      <c r="A950" s="23" t="s">
        <v>6127</v>
      </c>
      <c r="B950" s="42" t="str">
        <f>IFERROR(INDEX(Mots!$B:$B,MATCH($A950,Mots!$A:$A,0)),"introuvable")</f>
        <v>le piment</v>
      </c>
      <c r="C950" s="23" t="s">
        <v>9130</v>
      </c>
    </row>
    <row r="951" spans="1:9" x14ac:dyDescent="0.35">
      <c r="A951" s="23" t="s">
        <v>6134</v>
      </c>
      <c r="B951" s="42" t="str">
        <f>IFERROR(INDEX(Mots!$B:$B,MATCH($A951,Mots!$A:$A,0)),"introuvable")</f>
        <v>le pinceau</v>
      </c>
      <c r="C951" s="23" t="s">
        <v>9131</v>
      </c>
      <c r="I951" s="23" t="s">
        <v>9132</v>
      </c>
    </row>
    <row r="952" spans="1:9" x14ac:dyDescent="0.35">
      <c r="A952" s="23" t="s">
        <v>6142</v>
      </c>
      <c r="B952" s="42" t="str">
        <f>IFERROR(INDEX(Mots!$B:$B,MATCH($A952,Mots!$A:$A,0)),"introuvable")</f>
        <v>le pique-nique</v>
      </c>
      <c r="C952" s="23" t="s">
        <v>9133</v>
      </c>
      <c r="I952" s="23" t="s">
        <v>9134</v>
      </c>
    </row>
    <row r="953" spans="1:9" x14ac:dyDescent="0.35">
      <c r="A953" s="23" t="s">
        <v>6150</v>
      </c>
      <c r="B953" s="42" t="str">
        <f>IFERROR(INDEX(Mots!$B:$B,MATCH($A953,Mots!$A:$A,0)),"introuvable")</f>
        <v>le plafond</v>
      </c>
      <c r="C953" s="23" t="s">
        <v>9135</v>
      </c>
    </row>
    <row r="954" spans="1:9" x14ac:dyDescent="0.35">
      <c r="A954" s="23" t="s">
        <v>6160</v>
      </c>
      <c r="B954" s="42" t="str">
        <f>IFERROR(INDEX(Mots!$B:$B,MATCH($A954,Mots!$A:$A,0)),"introuvable")</f>
        <v>le plancher</v>
      </c>
      <c r="C954" s="23" t="s">
        <v>9136</v>
      </c>
    </row>
    <row r="955" spans="1:9" x14ac:dyDescent="0.35">
      <c r="A955" s="23" t="s">
        <v>6168</v>
      </c>
      <c r="B955" s="42" t="str">
        <f>IFERROR(INDEX(Mots!$B:$B,MATCH($A955,Mots!$A:$A,0)),"introuvable")</f>
        <v>le plastique</v>
      </c>
      <c r="C955" s="23" t="s">
        <v>9137</v>
      </c>
      <c r="I955" s="23" t="s">
        <v>9138</v>
      </c>
    </row>
    <row r="956" spans="1:9" x14ac:dyDescent="0.35">
      <c r="A956" s="23" t="s">
        <v>6172</v>
      </c>
      <c r="B956" s="42" t="str">
        <f>IFERROR(INDEX(Mots!$B:$B,MATCH($A956,Mots!$A:$A,0)),"introuvable")</f>
        <v>le plat</v>
      </c>
      <c r="C956" s="23" t="s">
        <v>9139</v>
      </c>
      <c r="I956" s="23" t="s">
        <v>9140</v>
      </c>
    </row>
    <row r="957" spans="1:9" x14ac:dyDescent="0.35">
      <c r="A957" s="23" t="s">
        <v>6175</v>
      </c>
      <c r="B957" s="42" t="str">
        <f>IFERROR(INDEX(Mots!$B:$B,MATCH($A957,Mots!$A:$A,0)),"introuvable")</f>
        <v>le poil</v>
      </c>
      <c r="C957" s="23" t="s">
        <v>9141</v>
      </c>
    </row>
    <row r="958" spans="1:9" x14ac:dyDescent="0.35">
      <c r="A958" s="23" t="s">
        <v>6182</v>
      </c>
      <c r="B958" s="42" t="str">
        <f>IFERROR(INDEX(Mots!$B:$B,MATCH($A958,Mots!$A:$A,0)),"introuvable")</f>
        <v>le point</v>
      </c>
      <c r="C958" s="23" t="s">
        <v>9142</v>
      </c>
      <c r="I958" s="23" t="s">
        <v>9143</v>
      </c>
    </row>
    <row r="959" spans="1:9" x14ac:dyDescent="0.35">
      <c r="A959" s="23" t="s">
        <v>6186</v>
      </c>
      <c r="B959" s="42" t="str">
        <f>IFERROR(INDEX(Mots!$B:$B,MATCH($A959,Mots!$A:$A,0)),"introuvable")</f>
        <v>le portefeuille</v>
      </c>
      <c r="C959" s="23" t="s">
        <v>9144</v>
      </c>
    </row>
    <row r="960" spans="1:9" x14ac:dyDescent="0.35">
      <c r="A960" s="23" t="s">
        <v>6190</v>
      </c>
      <c r="B960" s="42" t="str">
        <f>IFERROR(INDEX(Mots!$B:$B,MATCH($A960,Mots!$A:$A,0)),"introuvable")</f>
        <v>le porte-manteau</v>
      </c>
      <c r="C960" s="23" t="s">
        <v>9145</v>
      </c>
    </row>
    <row r="961" spans="1:9" x14ac:dyDescent="0.35">
      <c r="A961" s="23" t="s">
        <v>6198</v>
      </c>
      <c r="B961" s="42" t="str">
        <f>IFERROR(INDEX(Mots!$B:$B,MATCH($A961,Mots!$A:$A,0)),"introuvable")</f>
        <v>le prix</v>
      </c>
      <c r="C961" s="23" t="s">
        <v>9146</v>
      </c>
      <c r="I961" s="23" t="s">
        <v>9147</v>
      </c>
    </row>
    <row r="962" spans="1:9" x14ac:dyDescent="0.35">
      <c r="A962" s="23" t="s">
        <v>6202</v>
      </c>
      <c r="B962" s="42" t="str">
        <f>IFERROR(INDEX(Mots!$B:$B,MATCH($A962,Mots!$A:$A,0)),"introuvable")</f>
        <v>le problème</v>
      </c>
      <c r="C962" s="23" t="s">
        <v>9148</v>
      </c>
      <c r="I962" s="23" t="s">
        <v>9149</v>
      </c>
    </row>
    <row r="963" spans="1:9" x14ac:dyDescent="0.35">
      <c r="A963" s="23" t="s">
        <v>6206</v>
      </c>
      <c r="B963" s="42" t="str">
        <f>IFERROR(INDEX(Mots!$B:$B,MATCH($A963,Mots!$A:$A,0)),"introuvable")</f>
        <v>le puzzle</v>
      </c>
      <c r="C963" s="23" t="s">
        <v>9150</v>
      </c>
      <c r="I963" s="23" t="s">
        <v>9151</v>
      </c>
    </row>
    <row r="964" spans="1:9" x14ac:dyDescent="0.35">
      <c r="A964" s="23" t="s">
        <v>6210</v>
      </c>
      <c r="B964" s="42" t="str">
        <f>IFERROR(INDEX(Mots!$B:$B,MATCH($A964,Mots!$A:$A,0)),"introuvable")</f>
        <v>le quartier</v>
      </c>
      <c r="C964" s="23" t="s">
        <v>9152</v>
      </c>
    </row>
    <row r="965" spans="1:9" x14ac:dyDescent="0.35">
      <c r="A965" s="23" t="s">
        <v>6216</v>
      </c>
      <c r="B965" s="42" t="str">
        <f>IFERROR(INDEX(Mots!$B:$B,MATCH($A965,Mots!$A:$A,0)),"introuvable")</f>
        <v>le récipient</v>
      </c>
      <c r="C965" s="23" t="s">
        <v>9153</v>
      </c>
    </row>
    <row r="966" spans="1:9" x14ac:dyDescent="0.35">
      <c r="A966" s="23" t="s">
        <v>6222</v>
      </c>
      <c r="B966" s="42" t="str">
        <f>IFERROR(INDEX(Mots!$B:$B,MATCH($A966,Mots!$A:$A,0)),"introuvable")</f>
        <v>le récit</v>
      </c>
      <c r="C966" s="23" t="s">
        <v>9154</v>
      </c>
      <c r="I966" s="23" t="s">
        <v>9155</v>
      </c>
    </row>
    <row r="967" spans="1:9" x14ac:dyDescent="0.35">
      <c r="A967" s="23" t="s">
        <v>6229</v>
      </c>
      <c r="B967" s="42" t="str">
        <f>IFERROR(INDEX(Mots!$B:$B,MATCH($A967,Mots!$A:$A,0)),"introuvable")</f>
        <v>le reçu</v>
      </c>
      <c r="C967" s="23" t="s">
        <v>9156</v>
      </c>
      <c r="I967" s="23" t="s">
        <v>9157</v>
      </c>
    </row>
    <row r="968" spans="1:9" x14ac:dyDescent="0.35">
      <c r="A968" s="23" t="s">
        <v>6233</v>
      </c>
      <c r="B968" s="42" t="str">
        <f>IFERROR(INDEX(Mots!$B:$B,MATCH($A968,Mots!$A:$A,0)),"introuvable")</f>
        <v>le reflet</v>
      </c>
      <c r="C968" s="23" t="s">
        <v>9158</v>
      </c>
    </row>
    <row r="969" spans="1:9" x14ac:dyDescent="0.35">
      <c r="A969" s="23" t="s">
        <v>6241</v>
      </c>
      <c r="B969" s="42" t="str">
        <f>IFERROR(INDEX(Mots!$B:$B,MATCH($A969,Mots!$A:$A,0)),"introuvable")</f>
        <v>le regret</v>
      </c>
      <c r="C969" s="23" t="s">
        <v>9159</v>
      </c>
      <c r="I969" s="23" t="s">
        <v>9160</v>
      </c>
    </row>
    <row r="970" spans="1:9" x14ac:dyDescent="0.35">
      <c r="A970" s="23" t="s">
        <v>6245</v>
      </c>
      <c r="B970" s="42" t="str">
        <f>IFERROR(INDEX(Mots!$B:$B,MATCH($A970,Mots!$A:$A,0)),"introuvable")</f>
        <v>le relief</v>
      </c>
      <c r="C970" s="23" t="s">
        <v>9161</v>
      </c>
    </row>
    <row r="971" spans="1:9" x14ac:dyDescent="0.35">
      <c r="A971" s="23" t="s">
        <v>6249</v>
      </c>
      <c r="B971" s="42" t="str">
        <f>IFERROR(INDEX(Mots!$B:$B,MATCH($A971,Mots!$A:$A,0)),"introuvable")</f>
        <v>le remède</v>
      </c>
      <c r="C971" s="23" t="s">
        <v>9162</v>
      </c>
    </row>
    <row r="972" spans="1:9" x14ac:dyDescent="0.35">
      <c r="A972" s="23" t="s">
        <v>6252</v>
      </c>
      <c r="B972" s="42" t="str">
        <f>IFERROR(INDEX(Mots!$B:$B,MATCH($A972,Mots!$A:$A,0)),"introuvable")</f>
        <v>le repas</v>
      </c>
      <c r="C972" s="23" t="s">
        <v>9163</v>
      </c>
      <c r="I972" s="23" t="s">
        <v>8530</v>
      </c>
    </row>
    <row r="973" spans="1:9" x14ac:dyDescent="0.35">
      <c r="A973" s="23" t="s">
        <v>6260</v>
      </c>
      <c r="B973" s="42" t="str">
        <f>IFERROR(INDEX(Mots!$B:$B,MATCH($A973,Mots!$A:$A,0)),"introuvable")</f>
        <v>le respect</v>
      </c>
      <c r="C973" s="23" t="s">
        <v>9164</v>
      </c>
      <c r="I973" s="23" t="s">
        <v>9165</v>
      </c>
    </row>
    <row r="974" spans="1:9" x14ac:dyDescent="0.35">
      <c r="A974" s="23" t="s">
        <v>6265</v>
      </c>
      <c r="B974" s="42" t="str">
        <f>IFERROR(INDEX(Mots!$B:$B,MATCH($A974,Mots!$A:$A,0)),"introuvable")</f>
        <v>le résultat</v>
      </c>
      <c r="C974" s="23" t="s">
        <v>9166</v>
      </c>
    </row>
    <row r="975" spans="1:9" x14ac:dyDescent="0.35">
      <c r="A975" s="23" t="s">
        <v>6273</v>
      </c>
      <c r="B975" s="42" t="str">
        <f>IFERROR(INDEX(Mots!$B:$B,MATCH($A975,Mots!$A:$A,0)),"introuvable")</f>
        <v>le rhume</v>
      </c>
      <c r="C975" s="23" t="s">
        <v>9167</v>
      </c>
      <c r="I975" s="23" t="s">
        <v>9168</v>
      </c>
    </row>
    <row r="976" spans="1:9" x14ac:dyDescent="0.35">
      <c r="A976" s="23" t="s">
        <v>6277</v>
      </c>
      <c r="B976" s="42" t="str">
        <f>IFERROR(INDEX(Mots!$B:$B,MATCH($A976,Mots!$A:$A,0)),"introuvable")</f>
        <v>le rideau</v>
      </c>
      <c r="C976" s="23" t="s">
        <v>9169</v>
      </c>
      <c r="I976" s="23" t="s">
        <v>9170</v>
      </c>
    </row>
    <row r="977" spans="1:9" x14ac:dyDescent="0.35">
      <c r="A977" s="23" t="s">
        <v>6281</v>
      </c>
      <c r="B977" s="42" t="str">
        <f>IFERROR(INDEX(Mots!$B:$B,MATCH($A977,Mots!$A:$A,0)),"introuvable")</f>
        <v>le risque</v>
      </c>
      <c r="C977" s="23" t="s">
        <v>9171</v>
      </c>
      <c r="I977" s="23" t="s">
        <v>9172</v>
      </c>
    </row>
    <row r="978" spans="1:9" x14ac:dyDescent="0.35">
      <c r="A978" s="23" t="s">
        <v>6285</v>
      </c>
      <c r="B978" s="42" t="str">
        <f>IFERROR(INDEX(Mots!$B:$B,MATCH($A978,Mots!$A:$A,0)),"introuvable")</f>
        <v>le ruban</v>
      </c>
      <c r="C978" s="23" t="s">
        <v>9173</v>
      </c>
    </row>
    <row r="979" spans="1:9" x14ac:dyDescent="0.35">
      <c r="A979" s="23" t="s">
        <v>6289</v>
      </c>
      <c r="B979" s="42" t="str">
        <f>IFERROR(INDEX(Mots!$B:$B,MATCH($A979,Mots!$A:$A,0)),"introuvable")</f>
        <v>le rythme</v>
      </c>
      <c r="C979" s="23" t="s">
        <v>8808</v>
      </c>
      <c r="I979" s="23" t="s">
        <v>9174</v>
      </c>
    </row>
    <row r="980" spans="1:9" x14ac:dyDescent="0.35">
      <c r="A980" s="23" t="s">
        <v>6296</v>
      </c>
      <c r="B980" s="42" t="str">
        <f>IFERROR(INDEX(Mots!$B:$B,MATCH($A980,Mots!$A:$A,0)),"introuvable")</f>
        <v>le sable</v>
      </c>
      <c r="C980" s="23" t="s">
        <v>9175</v>
      </c>
    </row>
    <row r="981" spans="1:9" x14ac:dyDescent="0.35">
      <c r="A981" s="23" t="s">
        <v>6306</v>
      </c>
      <c r="B981" s="42" t="str">
        <f>IFERROR(INDEX(Mots!$B:$B,MATCH($A981,Mots!$A:$A,0)),"introuvable")</f>
        <v>le sac</v>
      </c>
      <c r="C981" s="23" t="s">
        <v>9176</v>
      </c>
      <c r="I981" s="23" t="s">
        <v>8526</v>
      </c>
    </row>
    <row r="982" spans="1:9" x14ac:dyDescent="0.35">
      <c r="A982" s="23" t="s">
        <v>6314</v>
      </c>
      <c r="B982" s="42" t="str">
        <f>IFERROR(INDEX(Mots!$B:$B,MATCH($A982,Mots!$A:$A,0)),"introuvable")</f>
        <v>le sac à dos</v>
      </c>
      <c r="C982" s="23" t="s">
        <v>9177</v>
      </c>
    </row>
    <row r="983" spans="1:9" x14ac:dyDescent="0.35">
      <c r="A983" s="23" t="s">
        <v>6322</v>
      </c>
      <c r="B983" s="42" t="str">
        <f>IFERROR(INDEX(Mots!$B:$B,MATCH($A983,Mots!$A:$A,0)),"introuvable")</f>
        <v>le seau</v>
      </c>
      <c r="C983" s="23" t="s">
        <v>9178</v>
      </c>
      <c r="I983" s="23" t="s">
        <v>9179</v>
      </c>
    </row>
    <row r="984" spans="1:9" x14ac:dyDescent="0.35">
      <c r="A984" s="23" t="s">
        <v>6330</v>
      </c>
      <c r="B984" s="42" t="str">
        <f>IFERROR(INDEX(Mots!$B:$B,MATCH($A984,Mots!$A:$A,0)),"introuvable")</f>
        <v>le secours</v>
      </c>
      <c r="C984" s="23" t="s">
        <v>9180</v>
      </c>
      <c r="I984" s="23" t="s">
        <v>9181</v>
      </c>
    </row>
    <row r="985" spans="1:9" x14ac:dyDescent="0.35">
      <c r="A985" s="23" t="s">
        <v>6334</v>
      </c>
      <c r="B985" s="42" t="str">
        <f>IFERROR(INDEX(Mots!$B:$B,MATCH($A985,Mots!$A:$A,0)),"introuvable")</f>
        <v>le secret</v>
      </c>
      <c r="C985" s="23" t="s">
        <v>9182</v>
      </c>
      <c r="I985" s="23" t="s">
        <v>9183</v>
      </c>
    </row>
    <row r="986" spans="1:9" x14ac:dyDescent="0.35">
      <c r="A986" s="23" t="s">
        <v>6343</v>
      </c>
      <c r="B986" s="42" t="str">
        <f>IFERROR(INDEX(Mots!$B:$B,MATCH($A986,Mots!$A:$A,0)),"introuvable")</f>
        <v>le sentier</v>
      </c>
      <c r="C986" s="23" t="s">
        <v>9184</v>
      </c>
      <c r="I986" s="23" t="s">
        <v>9185</v>
      </c>
    </row>
    <row r="987" spans="1:9" x14ac:dyDescent="0.35">
      <c r="A987" s="23" t="s">
        <v>6351</v>
      </c>
      <c r="B987" s="42" t="str">
        <f>IFERROR(INDEX(Mots!$B:$B,MATCH($A987,Mots!$A:$A,0)),"introuvable")</f>
        <v>le service</v>
      </c>
      <c r="C987" s="23" t="s">
        <v>9186</v>
      </c>
      <c r="I987" s="23" t="s">
        <v>9187</v>
      </c>
    </row>
    <row r="988" spans="1:9" x14ac:dyDescent="0.35">
      <c r="A988" s="23" t="s">
        <v>6356</v>
      </c>
      <c r="B988" s="42" t="str">
        <f>IFERROR(INDEX(Mots!$B:$B,MATCH($A988,Mots!$A:$A,0)),"introuvable")</f>
        <v>le signe</v>
      </c>
      <c r="C988" s="23" t="s">
        <v>9188</v>
      </c>
      <c r="I988" s="23" t="s">
        <v>9189</v>
      </c>
    </row>
    <row r="989" spans="1:9" x14ac:dyDescent="0.35">
      <c r="A989" s="23" t="s">
        <v>6364</v>
      </c>
      <c r="B989" s="42" t="str">
        <f>IFERROR(INDEX(Mots!$B:$B,MATCH($A989,Mots!$A:$A,0)),"introuvable")</f>
        <v>le silence</v>
      </c>
      <c r="C989" s="23" t="s">
        <v>9190</v>
      </c>
      <c r="I989" s="23" t="s">
        <v>9191</v>
      </c>
    </row>
    <row r="990" spans="1:9" x14ac:dyDescent="0.35">
      <c r="A990" s="23" t="s">
        <v>6373</v>
      </c>
      <c r="B990" s="42" t="str">
        <f>IFERROR(INDEX(Mots!$B:$B,MATCH($A990,Mots!$A:$A,0)),"introuvable")</f>
        <v>le sol</v>
      </c>
      <c r="C990" s="23" t="s">
        <v>9192</v>
      </c>
      <c r="I990" s="23" t="s">
        <v>9193</v>
      </c>
    </row>
    <row r="991" spans="1:9" x14ac:dyDescent="0.35">
      <c r="A991" s="23" t="s">
        <v>6377</v>
      </c>
      <c r="B991" s="42" t="str">
        <f>IFERROR(INDEX(Mots!$B:$B,MATCH($A991,Mots!$A:$A,0)),"introuvable")</f>
        <v>le sommeil</v>
      </c>
      <c r="C991" s="23" t="s">
        <v>9194</v>
      </c>
      <c r="I991" s="23" t="s">
        <v>9195</v>
      </c>
    </row>
    <row r="992" spans="1:9" x14ac:dyDescent="0.35">
      <c r="A992" s="23" t="s">
        <v>6380</v>
      </c>
      <c r="B992" s="42" t="str">
        <f>IFERROR(INDEX(Mots!$B:$B,MATCH($A992,Mots!$A:$A,0)),"introuvable")</f>
        <v>le souhait</v>
      </c>
      <c r="C992" s="23" t="s">
        <v>9196</v>
      </c>
      <c r="I992" s="23" t="s">
        <v>9197</v>
      </c>
    </row>
    <row r="993" spans="1:9" x14ac:dyDescent="0.35">
      <c r="A993" s="23" t="s">
        <v>6389</v>
      </c>
      <c r="B993" s="42" t="str">
        <f>IFERROR(INDEX(Mots!$B:$B,MATCH($A993,Mots!$A:$A,0)),"introuvable")</f>
        <v>le sport</v>
      </c>
      <c r="C993" s="23" t="s">
        <v>9198</v>
      </c>
      <c r="I993" s="23" t="s">
        <v>9199</v>
      </c>
    </row>
    <row r="994" spans="1:9" x14ac:dyDescent="0.35">
      <c r="A994" s="23" t="s">
        <v>6398</v>
      </c>
      <c r="B994" s="42" t="str">
        <f>IFERROR(INDEX(Mots!$B:$B,MATCH($A994,Mots!$A:$A,0)),"introuvable")</f>
        <v>le stade</v>
      </c>
      <c r="C994" s="23" t="s">
        <v>9200</v>
      </c>
    </row>
    <row r="995" spans="1:9" x14ac:dyDescent="0.35">
      <c r="A995" s="23" t="s">
        <v>6404</v>
      </c>
      <c r="B995" s="42" t="str">
        <f>IFERROR(INDEX(Mots!$B:$B,MATCH($A995,Mots!$A:$A,0)),"introuvable")</f>
        <v>le stylo</v>
      </c>
      <c r="C995" s="23" t="s">
        <v>9201</v>
      </c>
    </row>
    <row r="996" spans="1:9" x14ac:dyDescent="0.35">
      <c r="A996" s="23" t="s">
        <v>6412</v>
      </c>
      <c r="B996" s="42" t="str">
        <f>IFERROR(INDEX(Mots!$B:$B,MATCH($A996,Mots!$A:$A,0)),"introuvable")</f>
        <v>le tableau</v>
      </c>
      <c r="C996" s="23" t="s">
        <v>9202</v>
      </c>
    </row>
    <row r="997" spans="1:9" x14ac:dyDescent="0.35">
      <c r="A997" s="23" t="s">
        <v>6416</v>
      </c>
      <c r="B997" s="42" t="str">
        <f>IFERROR(INDEX(Mots!$B:$B,MATCH($A997,Mots!$A:$A,0)),"introuvable")</f>
        <v>le tablier</v>
      </c>
      <c r="C997" s="23" t="s">
        <v>9203</v>
      </c>
      <c r="I997" s="23" t="s">
        <v>9204</v>
      </c>
    </row>
    <row r="998" spans="1:9" x14ac:dyDescent="0.35">
      <c r="A998" s="23" t="s">
        <v>6424</v>
      </c>
      <c r="B998" s="42" t="str">
        <f>IFERROR(INDEX(Mots!$B:$B,MATCH($A998,Mots!$A:$A,0)),"introuvable")</f>
        <v>le tas</v>
      </c>
      <c r="C998" s="23" t="s">
        <v>9205</v>
      </c>
      <c r="I998" s="23" t="s">
        <v>9206</v>
      </c>
    </row>
    <row r="999" spans="1:9" x14ac:dyDescent="0.35">
      <c r="A999" s="23" t="s">
        <v>6432</v>
      </c>
      <c r="B999" s="42" t="str">
        <f>IFERROR(INDEX(Mots!$B:$B,MATCH($A999,Mots!$A:$A,0)),"introuvable")</f>
        <v>le terrain</v>
      </c>
      <c r="C999" s="23" t="s">
        <v>9207</v>
      </c>
    </row>
    <row r="1000" spans="1:9" x14ac:dyDescent="0.35">
      <c r="A1000" s="23" t="s">
        <v>6440</v>
      </c>
      <c r="B1000" s="42" t="str">
        <f>IFERROR(INDEX(Mots!$B:$B,MATCH($A1000,Mots!$A:$A,0)),"introuvable")</f>
        <v>le territoire</v>
      </c>
      <c r="C1000" s="23" t="s">
        <v>9208</v>
      </c>
    </row>
    <row r="1001" spans="1:9" x14ac:dyDescent="0.35">
      <c r="A1001" s="23" t="s">
        <v>6444</v>
      </c>
      <c r="B1001" s="42" t="str">
        <f>IFERROR(INDEX(Mots!$B:$B,MATCH($A1001,Mots!$A:$A,0)),"introuvable")</f>
        <v>le texte</v>
      </c>
      <c r="C1001" s="23" t="s">
        <v>9209</v>
      </c>
    </row>
    <row r="1002" spans="1:9" x14ac:dyDescent="0.35">
      <c r="A1002" s="23" t="s">
        <v>6451</v>
      </c>
      <c r="B1002" s="42" t="str">
        <f>IFERROR(INDEX(Mots!$B:$B,MATCH($A1002,Mots!$A:$A,0)),"introuvable")</f>
        <v>le thermomètre</v>
      </c>
      <c r="C1002" s="23" t="s">
        <v>9210</v>
      </c>
    </row>
    <row r="1003" spans="1:9" x14ac:dyDescent="0.35">
      <c r="A1003" s="23" t="s">
        <v>6459</v>
      </c>
      <c r="B1003" s="42" t="str">
        <f>IFERROR(INDEX(Mots!$B:$B,MATCH($A1003,Mots!$A:$A,0)),"introuvable")</f>
        <v>le timbre</v>
      </c>
      <c r="C1003" s="23" t="s">
        <v>9211</v>
      </c>
      <c r="I1003" s="23" t="s">
        <v>9212</v>
      </c>
    </row>
    <row r="1004" spans="1:9" x14ac:dyDescent="0.35">
      <c r="A1004" s="23" t="s">
        <v>6467</v>
      </c>
      <c r="B1004" s="42" t="str">
        <f>IFERROR(INDEX(Mots!$B:$B,MATCH($A1004,Mots!$A:$A,0)),"introuvable")</f>
        <v>le tiroir</v>
      </c>
      <c r="C1004" s="23" t="s">
        <v>9213</v>
      </c>
    </row>
    <row r="1005" spans="1:9" x14ac:dyDescent="0.35">
      <c r="A1005" s="23" t="s">
        <v>6475</v>
      </c>
      <c r="B1005" s="42" t="str">
        <f>IFERROR(INDEX(Mots!$B:$B,MATCH($A1005,Mots!$A:$A,0)),"introuvable")</f>
        <v>le tissu</v>
      </c>
      <c r="C1005" s="23" t="s">
        <v>9214</v>
      </c>
    </row>
    <row r="1006" spans="1:9" x14ac:dyDescent="0.35">
      <c r="A1006" s="23" t="s">
        <v>6479</v>
      </c>
      <c r="B1006" s="42" t="str">
        <f>IFERROR(INDEX(Mots!$B:$B,MATCH($A1006,Mots!$A:$A,0)),"introuvable")</f>
        <v>le tonneau</v>
      </c>
      <c r="C1006" s="23" t="s">
        <v>10030</v>
      </c>
    </row>
    <row r="1007" spans="1:9" x14ac:dyDescent="0.35">
      <c r="A1007" s="23" t="s">
        <v>6483</v>
      </c>
      <c r="B1007" s="42" t="str">
        <f>IFERROR(INDEX(Mots!$B:$B,MATCH($A1007,Mots!$A:$A,0)),"introuvable")</f>
        <v>le tonnerre</v>
      </c>
      <c r="C1007" s="23" t="s">
        <v>9215</v>
      </c>
      <c r="I1007" s="23" t="s">
        <v>9216</v>
      </c>
    </row>
    <row r="1008" spans="1:9" x14ac:dyDescent="0.35">
      <c r="A1008" s="23" t="s">
        <v>6487</v>
      </c>
      <c r="B1008" s="42" t="str">
        <f>IFERROR(INDEX(Mots!$B:$B,MATCH($A1008,Mots!$A:$A,0)),"introuvable")</f>
        <v>le total</v>
      </c>
      <c r="C1008" s="23" t="s">
        <v>9217</v>
      </c>
      <c r="I1008" s="23" t="s">
        <v>9218</v>
      </c>
    </row>
    <row r="1009" spans="1:9" x14ac:dyDescent="0.35">
      <c r="A1009" s="23" t="s">
        <v>6491</v>
      </c>
      <c r="B1009" s="42" t="str">
        <f>IFERROR(INDEX(Mots!$B:$B,MATCH($A1009,Mots!$A:$A,0)),"introuvable")</f>
        <v>le tournevis</v>
      </c>
      <c r="C1009" s="23" t="s">
        <v>8981</v>
      </c>
    </row>
    <row r="1010" spans="1:9" x14ac:dyDescent="0.35">
      <c r="A1010" s="23" t="s">
        <v>6498</v>
      </c>
      <c r="B1010" s="42" t="str">
        <f>IFERROR(INDEX(Mots!$B:$B,MATCH($A1010,Mots!$A:$A,0)),"introuvable")</f>
        <v>le trait</v>
      </c>
      <c r="C1010" s="23" t="s">
        <v>9219</v>
      </c>
      <c r="I1010" s="23" t="s">
        <v>9220</v>
      </c>
    </row>
    <row r="1011" spans="1:9" x14ac:dyDescent="0.35">
      <c r="A1011" s="23" t="s">
        <v>73</v>
      </c>
      <c r="B1011" s="42" t="str">
        <f>IFERROR(INDEX(Mots!$B:$B,MATCH($A1011,Mots!$A:$A,0)),"introuvable")</f>
        <v>le travail</v>
      </c>
      <c r="C1011" s="23" t="s">
        <v>9221</v>
      </c>
      <c r="I1011" s="23" t="s">
        <v>8401</v>
      </c>
    </row>
    <row r="1012" spans="1:9" x14ac:dyDescent="0.35">
      <c r="A1012" s="23" t="s">
        <v>9507</v>
      </c>
      <c r="B1012" s="42" t="str">
        <f>IFERROR(INDEX(Mots!$B:$B,MATCH($A1012,Mots!$A:$A,0)),"introuvable")</f>
        <v>le tronc</v>
      </c>
      <c r="C1012" s="23" t="s">
        <v>9222</v>
      </c>
    </row>
    <row r="1013" spans="1:9" x14ac:dyDescent="0.35">
      <c r="A1013" s="23" t="s">
        <v>6507</v>
      </c>
      <c r="B1013" s="42" t="str">
        <f>IFERROR(INDEX(Mots!$B:$B,MATCH($A1013,Mots!$A:$A,0)),"introuvable")</f>
        <v>le trottoir</v>
      </c>
      <c r="C1013" s="23" t="s">
        <v>9223</v>
      </c>
      <c r="I1013" s="23" t="s">
        <v>9224</v>
      </c>
    </row>
    <row r="1014" spans="1:9" x14ac:dyDescent="0.35">
      <c r="A1014" s="23" t="s">
        <v>6511</v>
      </c>
      <c r="B1014" s="42" t="str">
        <f>IFERROR(INDEX(Mots!$B:$B,MATCH($A1014,Mots!$A:$A,0)),"introuvable")</f>
        <v>le trou</v>
      </c>
      <c r="C1014" s="23" t="s">
        <v>9225</v>
      </c>
      <c r="I1014" s="23" t="s">
        <v>9226</v>
      </c>
    </row>
    <row r="1015" spans="1:9" x14ac:dyDescent="0.35">
      <c r="A1015" s="23" t="s">
        <v>6519</v>
      </c>
      <c r="B1015" s="42" t="str">
        <f>IFERROR(INDEX(Mots!$B:$B,MATCH($A1015,Mots!$A:$A,0)),"introuvable")</f>
        <v>le trousseau</v>
      </c>
      <c r="C1015" s="23" t="s">
        <v>9227</v>
      </c>
      <c r="I1015" s="23" t="s">
        <v>9228</v>
      </c>
    </row>
    <row r="1016" spans="1:9" x14ac:dyDescent="0.35">
      <c r="A1016" s="23" t="s">
        <v>6535</v>
      </c>
      <c r="B1016" s="42" t="str">
        <f>IFERROR(INDEX(Mots!$B:$B,MATCH($A1016,Mots!$A:$A,0)),"introuvable")</f>
        <v>le tuyau</v>
      </c>
      <c r="C1016" s="23" t="s">
        <v>10031</v>
      </c>
    </row>
    <row r="1017" spans="1:9" x14ac:dyDescent="0.35">
      <c r="A1017" s="23" t="s">
        <v>6543</v>
      </c>
      <c r="B1017" s="42" t="str">
        <f>IFERROR(INDEX(Mots!$B:$B,MATCH($A1017,Mots!$A:$A,0)),"introuvable")</f>
        <v>le type</v>
      </c>
      <c r="C1017" s="23" t="s">
        <v>9229</v>
      </c>
      <c r="I1017" s="23" t="s">
        <v>9230</v>
      </c>
    </row>
    <row r="1018" spans="1:9" x14ac:dyDescent="0.35">
      <c r="A1018" s="23" t="s">
        <v>6548</v>
      </c>
      <c r="B1018" s="42" t="str">
        <f>IFERROR(INDEX(Mots!$B:$B,MATCH($A1018,Mots!$A:$A,0)),"introuvable")</f>
        <v>le vaccin</v>
      </c>
      <c r="C1018" s="23" t="s">
        <v>9231</v>
      </c>
      <c r="I1018" s="23" t="s">
        <v>9232</v>
      </c>
    </row>
    <row r="1019" spans="1:9" x14ac:dyDescent="0.35">
      <c r="A1019" s="23" t="s">
        <v>6555</v>
      </c>
      <c r="B1019" s="42" t="str">
        <f>IFERROR(INDEX(Mots!$B:$B,MATCH($A1019,Mots!$A:$A,0)),"introuvable")</f>
        <v>le velours</v>
      </c>
      <c r="C1019" s="23" t="s">
        <v>9233</v>
      </c>
    </row>
    <row r="1020" spans="1:9" x14ac:dyDescent="0.35">
      <c r="A1020" s="23" t="s">
        <v>6560</v>
      </c>
      <c r="B1020" s="42" t="str">
        <f>IFERROR(INDEX(Mots!$B:$B,MATCH($A1020,Mots!$A:$A,0)),"introuvable")</f>
        <v>le vent</v>
      </c>
      <c r="C1020" s="23" t="s">
        <v>9234</v>
      </c>
      <c r="I1020" s="23" t="s">
        <v>9235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showGridLines="0" tabSelected="1" workbookViewId="0">
      <pane ySplit="1" topLeftCell="A2" activePane="bottomLeft" state="frozen"/>
      <selection pane="bottomLeft" activeCell="A10" sqref="A10:D11"/>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9236</v>
      </c>
      <c r="B1" s="50" t="s">
        <v>7696</v>
      </c>
      <c r="C1" s="50" t="s">
        <v>9237</v>
      </c>
      <c r="D1" s="50" t="s">
        <v>1</v>
      </c>
    </row>
    <row r="2" spans="1:4" x14ac:dyDescent="0.35">
      <c r="A2" s="47" t="s">
        <v>9238</v>
      </c>
      <c r="B2" s="47" t="s">
        <v>9239</v>
      </c>
      <c r="C2" s="47" t="s">
        <v>9240</v>
      </c>
      <c r="D2" s="47">
        <v>1</v>
      </c>
    </row>
    <row r="3" spans="1:4" x14ac:dyDescent="0.35">
      <c r="A3" s="47" t="s">
        <v>10323</v>
      </c>
      <c r="B3" s="47" t="s">
        <v>9727</v>
      </c>
      <c r="C3" s="47" t="s">
        <v>25</v>
      </c>
      <c r="D3" s="47">
        <v>2</v>
      </c>
    </row>
    <row r="4" spans="1:4" x14ac:dyDescent="0.35">
      <c r="A4" s="47" t="s">
        <v>10324</v>
      </c>
      <c r="B4" s="47" t="s">
        <v>10325</v>
      </c>
      <c r="C4" s="47" t="s">
        <v>9243</v>
      </c>
      <c r="D4" s="47">
        <v>3</v>
      </c>
    </row>
    <row r="5" spans="1:4" x14ac:dyDescent="0.35">
      <c r="A5" s="47" t="s">
        <v>10326</v>
      </c>
      <c r="B5" s="47" t="s">
        <v>10327</v>
      </c>
      <c r="C5" s="47" t="s">
        <v>42</v>
      </c>
      <c r="D5" s="47">
        <v>4</v>
      </c>
    </row>
    <row r="6" spans="1:4" x14ac:dyDescent="0.35">
      <c r="A6" s="47" t="s">
        <v>10328</v>
      </c>
      <c r="B6" s="47" t="s">
        <v>10329</v>
      </c>
      <c r="C6" s="47" t="s">
        <v>42</v>
      </c>
      <c r="D6" s="47">
        <v>5</v>
      </c>
    </row>
    <row r="7" spans="1:4" x14ac:dyDescent="0.35">
      <c r="A7" s="46" t="s">
        <v>10330</v>
      </c>
      <c r="B7" s="46" t="s">
        <v>10331</v>
      </c>
      <c r="C7" s="46" t="s">
        <v>311</v>
      </c>
      <c r="D7" s="46">
        <v>6</v>
      </c>
    </row>
    <row r="8" spans="1:4" x14ac:dyDescent="0.35">
      <c r="A8" s="46" t="s">
        <v>4657</v>
      </c>
      <c r="B8" s="46" t="s">
        <v>10332</v>
      </c>
      <c r="C8" s="46" t="s">
        <v>10375</v>
      </c>
      <c r="D8" s="46">
        <v>7</v>
      </c>
    </row>
    <row r="9" spans="1:4" x14ac:dyDescent="0.35">
      <c r="A9" s="46" t="s">
        <v>10333</v>
      </c>
      <c r="B9" s="46" t="s">
        <v>10334</v>
      </c>
      <c r="C9" s="46" t="s">
        <v>42</v>
      </c>
      <c r="D9" s="46">
        <v>8</v>
      </c>
    </row>
    <row r="10" spans="1:4" ht="16.2" x14ac:dyDescent="0.35">
      <c r="A10" s="46" t="s">
        <v>10390</v>
      </c>
      <c r="B10" s="46" t="s">
        <v>10391</v>
      </c>
      <c r="C10" s="51" t="s">
        <v>257</v>
      </c>
      <c r="D10" s="46">
        <v>9</v>
      </c>
    </row>
    <row r="11" spans="1:4" x14ac:dyDescent="0.35">
      <c r="A11" s="46" t="s">
        <v>9241</v>
      </c>
      <c r="B11" s="46" t="s">
        <v>9242</v>
      </c>
      <c r="C11" s="46" t="s">
        <v>9243</v>
      </c>
      <c r="D11" s="46">
        <v>10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workbookViewId="0">
      <pane xSplit="2" ySplit="1" topLeftCell="C204" activePane="bottomRight" state="frozen"/>
      <selection pane="topRight"/>
      <selection pane="bottomLeft"/>
      <selection pane="bottomRight" activeCell="A191" sqref="A191:C228"/>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7690</v>
      </c>
      <c r="B1" s="45" t="s">
        <v>7691</v>
      </c>
      <c r="C1" s="45" t="s">
        <v>9244</v>
      </c>
      <c r="D1" s="45" t="s">
        <v>9245</v>
      </c>
      <c r="E1" s="45" t="s">
        <v>9246</v>
      </c>
    </row>
    <row r="2" spans="1:5" x14ac:dyDescent="0.35">
      <c r="A2" s="47" t="s">
        <v>603</v>
      </c>
      <c r="B2" s="48" t="str">
        <f>IFERROR(INDEX(Mots!$B:$B,MATCH($A2,Mots!$A:$A,0)),"introuvable")</f>
        <v>Yvan Maistre</v>
      </c>
      <c r="C2" s="47" t="s">
        <v>9238</v>
      </c>
      <c r="D2" s="46" t="s">
        <v>10333</v>
      </c>
    </row>
    <row r="3" spans="1:5" x14ac:dyDescent="0.35">
      <c r="A3" s="47" t="s">
        <v>3031</v>
      </c>
      <c r="B3" s="48" t="str">
        <f>IFERROR(INDEX(Mots!$B:$B,MATCH($A3,Mots!$A:$A,0)),"introuvable")</f>
        <v>Mathilde</v>
      </c>
      <c r="C3" s="47" t="s">
        <v>9238</v>
      </c>
    </row>
    <row r="4" spans="1:5" x14ac:dyDescent="0.35">
      <c r="A4" s="47" t="s">
        <v>3034</v>
      </c>
      <c r="B4" s="48" t="str">
        <f>IFERROR(INDEX(Mots!$B:$B,MATCH($A4,Mots!$A:$A,0)),"introuvable")</f>
        <v>Julien</v>
      </c>
      <c r="C4" s="47" t="s">
        <v>9238</v>
      </c>
    </row>
    <row r="5" spans="1:5" x14ac:dyDescent="0.35">
      <c r="A5" s="47" t="s">
        <v>3038</v>
      </c>
      <c r="B5" s="48" t="str">
        <f>IFERROR(INDEX(Mots!$B:$B,MATCH($A5,Mots!$A:$A,0)),"introuvable")</f>
        <v>Emma</v>
      </c>
      <c r="C5" s="47" t="s">
        <v>9238</v>
      </c>
    </row>
    <row r="6" spans="1:5" x14ac:dyDescent="0.35">
      <c r="A6" s="47" t="s">
        <v>3042</v>
      </c>
      <c r="B6" s="48" t="str">
        <f>IFERROR(INDEX(Mots!$B:$B,MATCH($A6,Mots!$A:$A,0)),"introuvable")</f>
        <v>Loïc</v>
      </c>
      <c r="C6" s="47" t="s">
        <v>9238</v>
      </c>
    </row>
    <row r="7" spans="1:5" x14ac:dyDescent="0.35">
      <c r="A7" s="47" t="s">
        <v>3046</v>
      </c>
      <c r="B7" s="48" t="str">
        <f>IFERROR(INDEX(Mots!$B:$B,MATCH($A7,Mots!$A:$A,0)),"introuvable")</f>
        <v>Emile, le copain de Mathilde</v>
      </c>
      <c r="C7" s="47" t="s">
        <v>9238</v>
      </c>
    </row>
    <row r="8" spans="1:5" x14ac:dyDescent="0.35">
      <c r="A8" s="47" t="s">
        <v>3050</v>
      </c>
      <c r="B8" s="48" t="str">
        <f>IFERROR(INDEX(Mots!$B:$B,MATCH($A8,Mots!$A:$A,0)),"introuvable")</f>
        <v>Eva, la copine de Julien</v>
      </c>
      <c r="C8" s="47" t="s">
        <v>9238</v>
      </c>
    </row>
    <row r="9" spans="1:5" x14ac:dyDescent="0.35">
      <c r="A9" s="47" t="s">
        <v>3054</v>
      </c>
      <c r="B9" s="48" t="str">
        <f>IFERROR(INDEX(Mots!$B:$B,MATCH($A9,Mots!$A:$A,0)),"introuvable")</f>
        <v>Paul, le copain d'Emma</v>
      </c>
      <c r="C9" s="47" t="s">
        <v>9238</v>
      </c>
    </row>
    <row r="10" spans="1:5" x14ac:dyDescent="0.35">
      <c r="A10" s="47" t="s">
        <v>3058</v>
      </c>
      <c r="B10" s="48" t="str">
        <f>IFERROR(INDEX(Mots!$B:$B,MATCH($A10,Mots!$A:$A,0)),"introuvable")</f>
        <v>Claudia</v>
      </c>
      <c r="C10" s="47" t="s">
        <v>9238</v>
      </c>
    </row>
    <row r="11" spans="1:5" x14ac:dyDescent="0.35">
      <c r="A11" s="47" t="s">
        <v>3061</v>
      </c>
      <c r="B11" s="48" t="str">
        <f>IFERROR(INDEX(Mots!$B:$B,MATCH($A11,Mots!$A:$A,0)),"introuvable")</f>
        <v>Patrick</v>
      </c>
      <c r="C11" s="47" t="s">
        <v>9238</v>
      </c>
    </row>
    <row r="12" spans="1:5" x14ac:dyDescent="0.35">
      <c r="A12" s="47" t="s">
        <v>3065</v>
      </c>
      <c r="B12" s="48" t="str">
        <f>IFERROR(INDEX(Mots!$B:$B,MATCH($A12,Mots!$A:$A,0)),"introuvable")</f>
        <v>Olivier</v>
      </c>
      <c r="C12" s="47" t="s">
        <v>9238</v>
      </c>
    </row>
    <row r="13" spans="1:5" x14ac:dyDescent="0.35">
      <c r="A13" s="47" t="s">
        <v>3068</v>
      </c>
      <c r="B13" s="48" t="str">
        <f>IFERROR(INDEX(Mots!$B:$B,MATCH($A13,Mots!$A:$A,0)),"introuvable")</f>
        <v>Barbara</v>
      </c>
      <c r="C13" s="47" t="s">
        <v>9238</v>
      </c>
    </row>
    <row r="14" spans="1:5" x14ac:dyDescent="0.35">
      <c r="A14" s="47" t="s">
        <v>3071</v>
      </c>
      <c r="B14" s="48" t="str">
        <f>IFERROR(INDEX(Mots!$B:$B,MATCH($A14,Mots!$A:$A,0)),"introuvable")</f>
        <v>Sandrine</v>
      </c>
      <c r="C14" s="47" t="s">
        <v>9238</v>
      </c>
    </row>
    <row r="15" spans="1:5" x14ac:dyDescent="0.35">
      <c r="A15" s="47" t="s">
        <v>3077</v>
      </c>
      <c r="B15" s="48" t="str">
        <f>IFERROR(INDEX(Mots!$B:$B,MATCH($A15,Mots!$A:$A,0)),"introuvable")</f>
        <v>Professeur Joseph-André Ghika, neurologue</v>
      </c>
      <c r="C15" s="47" t="s">
        <v>9238</v>
      </c>
    </row>
    <row r="16" spans="1:5" x14ac:dyDescent="0.35">
      <c r="A16" s="46" t="s">
        <v>3081</v>
      </c>
      <c r="B16" s="48" t="str">
        <f>IFERROR(INDEX(Mots!$B:$B,MATCH($A16,Mots!$A:$A,0)),"introuvable")</f>
        <v>Louane</v>
      </c>
      <c r="C16" s="47" t="s">
        <v>9238</v>
      </c>
    </row>
    <row r="17" spans="1:3" x14ac:dyDescent="0.35">
      <c r="A17" s="47" t="s">
        <v>3085</v>
      </c>
      <c r="B17" s="48" t="str">
        <f>IFERROR(INDEX(Mots!$B:$B,MATCH($A17,Mots!$A:$A,0)),"introuvable")</f>
        <v>Melwyn</v>
      </c>
      <c r="C17" s="47" t="s">
        <v>9238</v>
      </c>
    </row>
    <row r="18" spans="1:3" x14ac:dyDescent="0.35">
      <c r="A18" s="47" t="s">
        <v>3089</v>
      </c>
      <c r="B18" s="48" t="str">
        <f>IFERROR(INDEX(Mots!$B:$B,MATCH($A18,Mots!$A:$A,0)),"introuvable")</f>
        <v>Jason</v>
      </c>
      <c r="C18" s="47" t="s">
        <v>9238</v>
      </c>
    </row>
    <row r="19" spans="1:3" x14ac:dyDescent="0.35">
      <c r="A19" s="47" t="s">
        <v>3093</v>
      </c>
      <c r="B19" s="48" t="str">
        <f>IFERROR(INDEX(Mots!$B:$B,MATCH($A19,Mots!$A:$A,0)),"introuvable")</f>
        <v>Yanis</v>
      </c>
      <c r="C19" s="47" t="s">
        <v>9238</v>
      </c>
    </row>
    <row r="20" spans="1:3" x14ac:dyDescent="0.35">
      <c r="A20" s="47" t="s">
        <v>3097</v>
      </c>
      <c r="B20" s="48" t="str">
        <f>IFERROR(INDEX(Mots!$B:$B,MATCH($A20,Mots!$A:$A,0)),"introuvable")</f>
        <v>Alison</v>
      </c>
      <c r="C20" s="47" t="s">
        <v>9238</v>
      </c>
    </row>
    <row r="21" spans="1:3" x14ac:dyDescent="0.35">
      <c r="A21" s="47" t="s">
        <v>3101</v>
      </c>
      <c r="B21" s="48" t="str">
        <f>IFERROR(INDEX(Mots!$B:$B,MATCH($A21,Mots!$A:$A,0)),"introuvable")</f>
        <v>Germaine</v>
      </c>
      <c r="C21" s="47" t="s">
        <v>9238</v>
      </c>
    </row>
    <row r="22" spans="1:3" x14ac:dyDescent="0.35">
      <c r="A22" s="47" t="s">
        <v>3105</v>
      </c>
      <c r="B22" s="48" t="str">
        <f>IFERROR(INDEX(Mots!$B:$B,MATCH($A22,Mots!$A:$A,0)),"introuvable")</f>
        <v>Noël</v>
      </c>
      <c r="C22" s="47" t="s">
        <v>9238</v>
      </c>
    </row>
    <row r="23" spans="1:3" x14ac:dyDescent="0.35">
      <c r="A23" s="47" t="s">
        <v>3610</v>
      </c>
      <c r="B23" s="48" t="str">
        <f>IFERROR(INDEX(Mots!$B:$B,MATCH($A23,Mots!$A:$A,0)),"introuvable")</f>
        <v>Christophe Germanier</v>
      </c>
      <c r="C23" s="47" t="s">
        <v>9238</v>
      </c>
    </row>
    <row r="24" spans="1:3" x14ac:dyDescent="0.35">
      <c r="A24" s="47" t="s">
        <v>3621</v>
      </c>
      <c r="B24" s="48" t="str">
        <f>IFERROR(INDEX(Mots!$B:$B,MATCH($A24,Mots!$A:$A,0)),"introuvable")</f>
        <v>Claudine Fumeaux</v>
      </c>
      <c r="C24" s="47" t="s">
        <v>9238</v>
      </c>
    </row>
    <row r="25" spans="1:3" x14ac:dyDescent="0.35">
      <c r="A25" s="47" t="s">
        <v>3749</v>
      </c>
      <c r="B25" s="48" t="str">
        <f>IFERROR(INDEX(Mots!$B:$B,MATCH($A25,Mots!$A:$A,0)),"introuvable")</f>
        <v>Damien Lagger</v>
      </c>
      <c r="C25" s="47" t="s">
        <v>9238</v>
      </c>
    </row>
    <row r="26" spans="1:3" x14ac:dyDescent="0.35">
      <c r="A26" s="47" t="s">
        <v>7035</v>
      </c>
      <c r="B26" s="48" t="str">
        <f>IFERROR(INDEX(Mots!$B:$B,MATCH($A26,Mots!$A:$A,0)),"introuvable")</f>
        <v>Philippe Germanier</v>
      </c>
      <c r="C26" s="47" t="s">
        <v>9238</v>
      </c>
    </row>
    <row r="27" spans="1:3" x14ac:dyDescent="0.35">
      <c r="A27" s="47" t="s">
        <v>7178</v>
      </c>
      <c r="B27" s="48" t="str">
        <f>IFERROR(INDEX(Mots!$B:$B,MATCH($A27,Mots!$A:$A,0)),"introuvable")</f>
        <v>Régis Evéquoz</v>
      </c>
      <c r="C27" s="47" t="s">
        <v>9238</v>
      </c>
    </row>
    <row r="28" spans="1:3" x14ac:dyDescent="0.35">
      <c r="A28" s="47" t="s">
        <v>7323</v>
      </c>
      <c r="B28" s="48" t="str">
        <f>IFERROR(INDEX(Mots!$B:$B,MATCH($A28,Mots!$A:$A,0)),"introuvable")</f>
        <v>Stéphanie Germanier</v>
      </c>
      <c r="C28" s="47" t="s">
        <v>9238</v>
      </c>
    </row>
    <row r="29" spans="1:3" x14ac:dyDescent="0.35">
      <c r="A29" s="47" t="s">
        <v>7535</v>
      </c>
      <c r="B29" s="48" t="str">
        <f>IFERROR(INDEX(Mots!$B:$B,MATCH($A29,Mots!$A:$A,0)),"introuvable")</f>
        <v>grand-maman Emma</v>
      </c>
      <c r="C29" s="47" t="s">
        <v>9238</v>
      </c>
    </row>
    <row r="30" spans="1:3" x14ac:dyDescent="0.35">
      <c r="A30" s="47" t="s">
        <v>7540</v>
      </c>
      <c r="B30" s="48" t="str">
        <f>IFERROR(INDEX(Mots!$B:$B,MATCH($A30,Mots!$A:$A,0)),"introuvable")</f>
        <v>grand-papa Maurice</v>
      </c>
      <c r="C30" s="47" t="s">
        <v>9238</v>
      </c>
    </row>
    <row r="31" spans="1:3" x14ac:dyDescent="0.35">
      <c r="A31" s="47" t="s">
        <v>7544</v>
      </c>
      <c r="B31" s="48" t="str">
        <f>IFERROR(INDEX(Mots!$B:$B,MATCH($A31,Mots!$A:$A,0)),"introuvable")</f>
        <v>l'oncle Bernard</v>
      </c>
      <c r="C31" s="47" t="s">
        <v>9238</v>
      </c>
    </row>
    <row r="32" spans="1:3" x14ac:dyDescent="0.35">
      <c r="A32" s="47" t="s">
        <v>7548</v>
      </c>
      <c r="B32" s="48" t="str">
        <f>IFERROR(INDEX(Mots!$B:$B,MATCH($A32,Mots!$A:$A,0)),"introuvable")</f>
        <v>l'oncle Marcel</v>
      </c>
      <c r="C32" s="47" t="s">
        <v>9238</v>
      </c>
    </row>
    <row r="33" spans="1:3" x14ac:dyDescent="0.35">
      <c r="A33" s="47" t="s">
        <v>7552</v>
      </c>
      <c r="B33" s="48" t="str">
        <f>IFERROR(INDEX(Mots!$B:$B,MATCH($A33,Mots!$A:$A,0)),"introuvable")</f>
        <v>tante Lucienne</v>
      </c>
      <c r="C33" s="47" t="s">
        <v>9238</v>
      </c>
    </row>
    <row r="34" spans="1:3" x14ac:dyDescent="0.35">
      <c r="A34" s="47" t="s">
        <v>7556</v>
      </c>
      <c r="B34" s="48" t="str">
        <f>IFERROR(INDEX(Mots!$B:$B,MATCH($A34,Mots!$A:$A,0)),"introuvable")</f>
        <v>tante Edith</v>
      </c>
      <c r="C34" s="47" t="s">
        <v>9238</v>
      </c>
    </row>
    <row r="35" spans="1:3" x14ac:dyDescent="0.35">
      <c r="A35" s="47" t="s">
        <v>7631</v>
      </c>
      <c r="B35" s="48" t="str">
        <f>IFERROR(INDEX(Mots!$B:$B,MATCH($A35,Mots!$A:$A,0)),"introuvable")</f>
        <v>Yvan Lagger</v>
      </c>
      <c r="C35" s="47" t="s">
        <v>9238</v>
      </c>
    </row>
    <row r="36" spans="1:3" x14ac:dyDescent="0.35">
      <c r="A36" s="46" t="s">
        <v>10221</v>
      </c>
      <c r="B36" s="48" t="str">
        <f>IFERROR(INDEX(Mots!$B:$B,MATCH($A36,Mots!$A:$A,0)),"introuvable")</f>
        <v>David Roh</v>
      </c>
      <c r="C36" s="47" t="s">
        <v>9238</v>
      </c>
    </row>
    <row r="37" spans="1:3" x14ac:dyDescent="0.35">
      <c r="A37" s="46" t="s">
        <v>10222</v>
      </c>
      <c r="B37" s="48" t="str">
        <f>IFERROR(INDEX(Mots!$B:$B,MATCH($A37,Mots!$A:$A,0)),"introuvable")</f>
        <v>Simon Roh</v>
      </c>
      <c r="C37" s="47" t="s">
        <v>9238</v>
      </c>
    </row>
    <row r="38" spans="1:3" x14ac:dyDescent="0.35">
      <c r="A38" s="46" t="s">
        <v>10223</v>
      </c>
      <c r="B38" s="48" t="str">
        <f>IFERROR(INDEX(Mots!$B:$B,MATCH($A38,Mots!$A:$A,0)),"introuvable")</f>
        <v>Jean-Daniel Vergères</v>
      </c>
      <c r="C38" s="47" t="s">
        <v>9238</v>
      </c>
    </row>
    <row r="39" spans="1:3" x14ac:dyDescent="0.35">
      <c r="A39" s="46" t="s">
        <v>10224</v>
      </c>
      <c r="B39" s="48" t="str">
        <f>IFERROR(INDEX(Mots!$B:$B,MATCH($A39,Mots!$A:$A,0)),"introuvable")</f>
        <v>Jean-René Roh</v>
      </c>
      <c r="C39" s="47" t="s">
        <v>9238</v>
      </c>
    </row>
    <row r="40" spans="1:3" x14ac:dyDescent="0.35">
      <c r="A40" s="46" t="s">
        <v>10239</v>
      </c>
      <c r="B40" s="48" t="str">
        <f>IFERROR(INDEX(Mots!$B:$B,MATCH($A40,Mots!$A:$A,0)),"introuvable")</f>
        <v>Kevin Dessimoz</v>
      </c>
      <c r="C40" s="47" t="s">
        <v>9238</v>
      </c>
    </row>
    <row r="41" spans="1:3" x14ac:dyDescent="0.35">
      <c r="A41" s="46" t="s">
        <v>10243</v>
      </c>
      <c r="B41" s="48" t="str">
        <f>IFERROR(INDEX(Mots!$B:$B,MATCH($A41,Mots!$A:$A,0)),"introuvable")</f>
        <v>Noé Sauthier</v>
      </c>
      <c r="C41" s="47" t="s">
        <v>9238</v>
      </c>
    </row>
    <row r="42" spans="1:3" x14ac:dyDescent="0.35">
      <c r="A42" s="46" t="s">
        <v>10247</v>
      </c>
      <c r="B42" s="48" t="str">
        <f>IFERROR(INDEX(Mots!$B:$B,MATCH($A42,Mots!$A:$A,0)),"introuvable")</f>
        <v>Adeline Berset</v>
      </c>
      <c r="C42" s="47" t="s">
        <v>9238</v>
      </c>
    </row>
    <row r="43" spans="1:3" x14ac:dyDescent="0.35">
      <c r="A43" s="46" t="s">
        <v>10251</v>
      </c>
      <c r="B43" s="48" t="str">
        <f>IFERROR(INDEX(Mots!$B:$B,MATCH($A43,Mots!$A:$A,0)),"introuvable")</f>
        <v>Isabelle Sauthier</v>
      </c>
      <c r="C43" s="47" t="s">
        <v>9238</v>
      </c>
    </row>
    <row r="44" spans="1:3" x14ac:dyDescent="0.35">
      <c r="A44" s="46" t="s">
        <v>10255</v>
      </c>
      <c r="B44" s="48" t="str">
        <f>IFERROR(INDEX(Mots!$B:$B,MATCH($A44,Mots!$A:$A,0)),"introuvable")</f>
        <v>Pierre-Alain Sauthier</v>
      </c>
      <c r="C44" s="47" t="s">
        <v>9238</v>
      </c>
    </row>
    <row r="45" spans="1:3" x14ac:dyDescent="0.35">
      <c r="A45" s="46" t="s">
        <v>10259</v>
      </c>
      <c r="B45" s="48" t="str">
        <f>IFERROR(INDEX(Mots!$B:$B,MATCH($A45,Mots!$A:$A,0)),"introuvable")</f>
        <v>Olivier Sauthier</v>
      </c>
      <c r="C45" s="47" t="s">
        <v>9238</v>
      </c>
    </row>
    <row r="46" spans="1:3" x14ac:dyDescent="0.35">
      <c r="A46" s="46" t="s">
        <v>10263</v>
      </c>
      <c r="B46" s="48" t="str">
        <f>IFERROR(INDEX(Mots!$B:$B,MATCH($A46,Mots!$A:$A,0)),"introuvable")</f>
        <v>Nick Childs</v>
      </c>
      <c r="C46" s="47" t="s">
        <v>9238</v>
      </c>
    </row>
    <row r="47" spans="1:3" x14ac:dyDescent="0.35">
      <c r="A47" s="46" t="s">
        <v>10269</v>
      </c>
      <c r="B47" s="48" t="str">
        <f>IFERROR(INDEX(Mots!$B:$B,MATCH($A47,Mots!$A:$A,0)),"introuvable")</f>
        <v>Denis Sauthier</v>
      </c>
      <c r="C47" s="47" t="s">
        <v>9238</v>
      </c>
    </row>
    <row r="48" spans="1:3" x14ac:dyDescent="0.35">
      <c r="A48" s="46" t="s">
        <v>10273</v>
      </c>
      <c r="B48" s="48" t="str">
        <f>IFERROR(INDEX(Mots!$B:$B,MATCH($A48,Mots!$A:$A,0)),"introuvable")</f>
        <v>Olivier Cottagnoud</v>
      </c>
      <c r="C48" s="47" t="s">
        <v>9238</v>
      </c>
    </row>
    <row r="49" spans="1:3" x14ac:dyDescent="0.35">
      <c r="A49" s="46" t="s">
        <v>10278</v>
      </c>
      <c r="B49" s="48" t="str">
        <f>IFERROR(INDEX(Mots!$B:$B,MATCH($A49,Mots!$A:$A,0)),"introuvable")</f>
        <v>Fabienne Sauthier</v>
      </c>
      <c r="C49" s="47" t="s">
        <v>9238</v>
      </c>
    </row>
    <row r="50" spans="1:3" x14ac:dyDescent="0.35">
      <c r="A50" s="46" t="s">
        <v>10282</v>
      </c>
      <c r="B50" s="48" t="str">
        <f>IFERROR(INDEX(Mots!$B:$B,MATCH($A50,Mots!$A:$A,0)),"introuvable")</f>
        <v>David Bonvin</v>
      </c>
      <c r="C50" s="47" t="s">
        <v>9238</v>
      </c>
    </row>
    <row r="51" spans="1:3" x14ac:dyDescent="0.35">
      <c r="A51" s="46" t="s">
        <v>10288</v>
      </c>
      <c r="B51" s="48" t="str">
        <f>IFERROR(INDEX(Mots!$B:$B,MATCH($A51,Mots!$A:$A,0)),"introuvable")</f>
        <v>Gaëtan Reynard</v>
      </c>
      <c r="C51" s="47" t="s">
        <v>9238</v>
      </c>
    </row>
    <row r="52" spans="1:3" x14ac:dyDescent="0.35">
      <c r="A52" s="46" t="s">
        <v>10294</v>
      </c>
      <c r="B52" s="48" t="str">
        <f>IFERROR(INDEX(Mots!$B:$B,MATCH($A52,Mots!$A:$A,0)),"introuvable")</f>
        <v>Charles-Albert Putallaz</v>
      </c>
      <c r="C52" s="47" t="s">
        <v>9238</v>
      </c>
    </row>
    <row r="53" spans="1:3" x14ac:dyDescent="0.35">
      <c r="A53" s="46" t="s">
        <v>10298</v>
      </c>
      <c r="B53" s="48" t="str">
        <f>IFERROR(INDEX(Mots!$B:$B,MATCH($A53,Mots!$A:$A,0)),"introuvable")</f>
        <v>Jacques Evéquoz</v>
      </c>
      <c r="C53" s="47" t="s">
        <v>9238</v>
      </c>
    </row>
    <row r="54" spans="1:3" x14ac:dyDescent="0.35">
      <c r="A54" s="46" t="s">
        <v>10302</v>
      </c>
      <c r="B54" s="48" t="str">
        <f>IFERROR(INDEX(Mots!$B:$B,MATCH($A54,Mots!$A:$A,0)),"introuvable")</f>
        <v>Jean-Christophe Roh</v>
      </c>
      <c r="C54" s="47" t="s">
        <v>9238</v>
      </c>
    </row>
    <row r="55" spans="1:3" x14ac:dyDescent="0.35">
      <c r="A55" s="46" t="s">
        <v>10306</v>
      </c>
      <c r="B55" s="48" t="str">
        <f>IFERROR(INDEX(Mots!$B:$B,MATCH($A55,Mots!$A:$A,0)),"introuvable")</f>
        <v>Fadri Schucan</v>
      </c>
      <c r="C55" s="47" t="s">
        <v>9238</v>
      </c>
    </row>
    <row r="56" spans="1:3" x14ac:dyDescent="0.35">
      <c r="A56" s="46" t="s">
        <v>10310</v>
      </c>
      <c r="B56" s="48" t="str">
        <f>IFERROR(INDEX(Mots!$B:$B,MATCH($A56,Mots!$A:$A,0)),"introuvable")</f>
        <v>Philippe Udry</v>
      </c>
      <c r="C56" s="47" t="s">
        <v>9238</v>
      </c>
    </row>
    <row r="57" spans="1:3" x14ac:dyDescent="0.35">
      <c r="A57" s="46" t="s">
        <v>10314</v>
      </c>
      <c r="B57" s="48" t="str">
        <f>IFERROR(INDEX(Mots!$B:$B,MATCH($A57,Mots!$A:$A,0)),"introuvable")</f>
        <v>Patrick Sauthier</v>
      </c>
      <c r="C57" s="47" t="s">
        <v>9238</v>
      </c>
    </row>
    <row r="58" spans="1:3" x14ac:dyDescent="0.35">
      <c r="A58" s="46" t="s">
        <v>10318</v>
      </c>
      <c r="B58" s="48" t="str">
        <f>IFERROR(INDEX(Mots!$B:$B,MATCH($A58,Mots!$A:$A,0)),"introuvable")</f>
        <v>Jean-René Germanier</v>
      </c>
      <c r="C58" s="47" t="s">
        <v>9238</v>
      </c>
    </row>
    <row r="59" spans="1:3" ht="15.6" x14ac:dyDescent="0.35">
      <c r="A59" s="24" t="s">
        <v>4012</v>
      </c>
      <c r="B59" s="48" t="str">
        <f>IFERROR(INDEX(Mots!$B:$B,MATCH($A59,Mots!$A:$A,0)),"introuvable")</f>
        <v>grand-maman Léontine</v>
      </c>
      <c r="C59" s="47" t="s">
        <v>9238</v>
      </c>
    </row>
    <row r="60" spans="1:3" x14ac:dyDescent="0.35">
      <c r="A60" s="46" t="s">
        <v>1513</v>
      </c>
      <c r="B60" s="48" t="str">
        <f>IFERROR(INDEX(Mots!$B:$B,MATCH($A60,Mots!$A:$A,0)),"introuvable")</f>
        <v>une bière limonade</v>
      </c>
      <c r="C60" s="46" t="s">
        <v>10323</v>
      </c>
    </row>
    <row r="61" spans="1:3" x14ac:dyDescent="0.35">
      <c r="A61" s="46" t="s">
        <v>1517</v>
      </c>
      <c r="B61" s="48" t="str">
        <f>IFERROR(INDEX(Mots!$B:$B,MATCH($A61,Mots!$A:$A,0)),"introuvable")</f>
        <v>un verre de vin rouge</v>
      </c>
      <c r="C61" s="46" t="s">
        <v>10323</v>
      </c>
    </row>
    <row r="62" spans="1:3" x14ac:dyDescent="0.35">
      <c r="A62" s="46" t="s">
        <v>1521</v>
      </c>
      <c r="B62" s="48" t="str">
        <f>IFERROR(INDEX(Mots!$B:$B,MATCH($A62,Mots!$A:$A,0)),"introuvable")</f>
        <v>un verre de vin blanc</v>
      </c>
      <c r="C62" s="46" t="s">
        <v>10323</v>
      </c>
    </row>
    <row r="63" spans="1:3" x14ac:dyDescent="0.35">
      <c r="A63" s="46" t="s">
        <v>1525</v>
      </c>
      <c r="B63" s="48" t="str">
        <f>IFERROR(INDEX(Mots!$B:$B,MATCH($A63,Mots!$A:$A,0)),"introuvable")</f>
        <v>une suze henniez</v>
      </c>
      <c r="C63" s="46" t="s">
        <v>10323</v>
      </c>
    </row>
    <row r="64" spans="1:3" x14ac:dyDescent="0.35">
      <c r="A64" s="46" t="s">
        <v>1529</v>
      </c>
      <c r="B64" s="48" t="str">
        <f>IFERROR(INDEX(Mots!$B:$B,MATCH($A64,Mots!$A:$A,0)),"introuvable")</f>
        <v>le thé</v>
      </c>
      <c r="C64" s="46" t="s">
        <v>10323</v>
      </c>
    </row>
    <row r="65" spans="1:4" x14ac:dyDescent="0.35">
      <c r="A65" s="46" t="s">
        <v>1533</v>
      </c>
      <c r="B65" s="48" t="str">
        <f>IFERROR(INDEX(Mots!$B:$B,MATCH($A65,Mots!$A:$A,0)),"introuvable")</f>
        <v>une eau minérale</v>
      </c>
      <c r="C65" s="46" t="s">
        <v>10323</v>
      </c>
      <c r="D65" s="46" t="s">
        <v>10330</v>
      </c>
    </row>
    <row r="66" spans="1:4" x14ac:dyDescent="0.35">
      <c r="A66" s="46" t="s">
        <v>1537</v>
      </c>
      <c r="B66" s="48" t="str">
        <f>IFERROR(INDEX(Mots!$B:$B,MATCH($A66,Mots!$A:$A,0)),"introuvable")</f>
        <v>un henniez cassis</v>
      </c>
      <c r="C66" s="46" t="s">
        <v>10323</v>
      </c>
    </row>
    <row r="67" spans="1:4" x14ac:dyDescent="0.35">
      <c r="A67" s="46" t="s">
        <v>1540</v>
      </c>
      <c r="B67" s="48" t="str">
        <f>IFERROR(INDEX(Mots!$B:$B,MATCH($A67,Mots!$A:$A,0)),"introuvable")</f>
        <v>un Coca Cola</v>
      </c>
      <c r="C67" s="46" t="s">
        <v>10323</v>
      </c>
      <c r="D67" s="46" t="s">
        <v>10330</v>
      </c>
    </row>
    <row r="68" spans="1:4" x14ac:dyDescent="0.35">
      <c r="A68" s="46" t="s">
        <v>1545</v>
      </c>
      <c r="B68" s="48" t="str">
        <f>IFERROR(INDEX(Mots!$B:$B,MATCH($A68,Mots!$A:$A,0)),"introuvable")</f>
        <v>un grapefruit</v>
      </c>
      <c r="C68" s="46" t="s">
        <v>10323</v>
      </c>
    </row>
    <row r="69" spans="1:4" x14ac:dyDescent="0.35">
      <c r="A69" s="46" t="s">
        <v>1548</v>
      </c>
      <c r="B69" s="48" t="str">
        <f>IFERROR(INDEX(Mots!$B:$B,MATCH($A69,Mots!$A:$A,0)),"introuvable")</f>
        <v>un jus de pomme</v>
      </c>
      <c r="C69" s="46" t="s">
        <v>10323</v>
      </c>
    </row>
    <row r="70" spans="1:4" x14ac:dyDescent="0.35">
      <c r="A70" s="46" t="s">
        <v>1552</v>
      </c>
      <c r="B70" s="48" t="str">
        <f>IFERROR(INDEX(Mots!$B:$B,MATCH($A70,Mots!$A:$A,0)),"introuvable")</f>
        <v>un jus d'orange</v>
      </c>
      <c r="C70" s="46" t="s">
        <v>10323</v>
      </c>
    </row>
    <row r="71" spans="1:4" x14ac:dyDescent="0.35">
      <c r="A71" s="46" t="s">
        <v>1555</v>
      </c>
      <c r="B71" s="48" t="str">
        <f>IFERROR(INDEX(Mots!$B:$B,MATCH($A71,Mots!$A:$A,0)),"introuvable")</f>
        <v>un Sprite</v>
      </c>
      <c r="C71" s="46" t="s">
        <v>10323</v>
      </c>
    </row>
    <row r="72" spans="1:4" x14ac:dyDescent="0.35">
      <c r="A72" s="46" t="s">
        <v>1558</v>
      </c>
      <c r="B72" s="48" t="str">
        <f>IFERROR(INDEX(Mots!$B:$B,MATCH($A72,Mots!$A:$A,0)),"introuvable")</f>
        <v>le sirop</v>
      </c>
      <c r="C72" s="46" t="s">
        <v>10323</v>
      </c>
      <c r="D72" s="46" t="s">
        <v>10330</v>
      </c>
    </row>
    <row r="73" spans="1:4" x14ac:dyDescent="0.35">
      <c r="A73" s="46" t="s">
        <v>3321</v>
      </c>
      <c r="B73" s="48" t="str">
        <f>IFERROR(INDEX(Mots!$B:$B,MATCH($A73,Mots!$A:$A,0)),"introuvable")</f>
        <v>le café</v>
      </c>
      <c r="C73" s="46" t="s">
        <v>10323</v>
      </c>
    </row>
    <row r="74" spans="1:4" x14ac:dyDescent="0.35">
      <c r="A74" s="46" t="s">
        <v>1981</v>
      </c>
      <c r="B74" s="48" t="str">
        <f>IFERROR(INDEX(Mots!$B:$B,MATCH($A74,Mots!$A:$A,0)),"introuvable")</f>
        <v>le cornet</v>
      </c>
      <c r="C74" s="46" t="s">
        <v>10328</v>
      </c>
    </row>
    <row r="75" spans="1:4" x14ac:dyDescent="0.35">
      <c r="A75" s="46" t="s">
        <v>1120</v>
      </c>
      <c r="B75" s="48" t="str">
        <f>IFERROR(INDEX(Mots!$B:$B,MATCH($A75,Mots!$A:$A,0)),"introuvable")</f>
        <v>l'embouchure</v>
      </c>
      <c r="C75" s="46" t="s">
        <v>10328</v>
      </c>
    </row>
    <row r="76" spans="1:4" x14ac:dyDescent="0.35">
      <c r="A76" s="46" t="s">
        <v>1124</v>
      </c>
      <c r="B76" s="48" t="str">
        <f>IFERROR(INDEX(Mots!$B:$B,MATCH($A76,Mots!$A:$A,0)),"introuvable")</f>
        <v>les pistons</v>
      </c>
      <c r="C76" s="46" t="s">
        <v>10328</v>
      </c>
    </row>
    <row r="77" spans="1:4" x14ac:dyDescent="0.35">
      <c r="A77" s="46" t="s">
        <v>1127</v>
      </c>
      <c r="B77" s="48" t="str">
        <f>IFERROR(INDEX(Mots!$B:$B,MATCH($A77,Mots!$A:$A,0)),"introuvable")</f>
        <v>la coulisse</v>
      </c>
      <c r="C77" s="46" t="s">
        <v>10328</v>
      </c>
    </row>
    <row r="78" spans="1:4" x14ac:dyDescent="0.35">
      <c r="A78" s="46" t="s">
        <v>1135</v>
      </c>
      <c r="B78" s="48" t="str">
        <f>IFERROR(INDEX(Mots!$B:$B,MATCH($A78,Mots!$A:$A,0)),"introuvable")</f>
        <v>l'huile</v>
      </c>
      <c r="C78" s="46" t="s">
        <v>10328</v>
      </c>
    </row>
    <row r="79" spans="1:4" x14ac:dyDescent="0.35">
      <c r="A79" s="46" t="s">
        <v>1139</v>
      </c>
      <c r="B79" s="48" t="str">
        <f>IFERROR(INDEX(Mots!$B:$B,MATCH($A79,Mots!$A:$A,0)),"introuvable")</f>
        <v>la graisse</v>
      </c>
      <c r="C79" s="46" t="s">
        <v>10328</v>
      </c>
    </row>
    <row r="80" spans="1:4" x14ac:dyDescent="0.35">
      <c r="A80" s="46" t="s">
        <v>1131</v>
      </c>
      <c r="B80" s="48" t="str">
        <f>IFERROR(INDEX(Mots!$B:$B,MATCH($A80,Mots!$A:$A,0)),"introuvable")</f>
        <v>le coffre</v>
      </c>
      <c r="C80" s="46" t="s">
        <v>10328</v>
      </c>
    </row>
    <row r="81" spans="1:3" x14ac:dyDescent="0.35">
      <c r="A81" s="46" t="s">
        <v>1143</v>
      </c>
      <c r="B81" s="48" t="str">
        <f>IFERROR(INDEX(Mots!$B:$B,MATCH($A81,Mots!$A:$A,0)),"introuvable")</f>
        <v>les brosses</v>
      </c>
      <c r="C81" s="46" t="s">
        <v>10328</v>
      </c>
    </row>
    <row r="82" spans="1:3" x14ac:dyDescent="0.35">
      <c r="A82" s="46" t="s">
        <v>1984</v>
      </c>
      <c r="B82" s="48" t="str">
        <f>IFERROR(INDEX(Mots!$B:$B,MATCH($A82,Mots!$A:$A,0)),"introuvable")</f>
        <v>le bugle</v>
      </c>
      <c r="C82" s="46" t="s">
        <v>10328</v>
      </c>
    </row>
    <row r="83" spans="1:3" x14ac:dyDescent="0.35">
      <c r="A83" s="46" t="s">
        <v>1988</v>
      </c>
      <c r="B83" s="48" t="str">
        <f>IFERROR(INDEX(Mots!$B:$B,MATCH($A83,Mots!$A:$A,0)),"introuvable")</f>
        <v>l'alto</v>
      </c>
      <c r="C83" s="46" t="s">
        <v>10328</v>
      </c>
    </row>
    <row r="84" spans="1:3" x14ac:dyDescent="0.35">
      <c r="A84" s="46" t="s">
        <v>1996</v>
      </c>
      <c r="B84" s="48" t="str">
        <f>IFERROR(INDEX(Mots!$B:$B,MATCH($A84,Mots!$A:$A,0)),"introuvable")</f>
        <v>l'euphonium</v>
      </c>
      <c r="C84" s="46" t="s">
        <v>10328</v>
      </c>
    </row>
    <row r="85" spans="1:3" x14ac:dyDescent="0.35">
      <c r="A85" s="46" t="s">
        <v>1992</v>
      </c>
      <c r="B85" s="48" t="str">
        <f>IFERROR(INDEX(Mots!$B:$B,MATCH($A85,Mots!$A:$A,0)),"introuvable")</f>
        <v>le baryton</v>
      </c>
      <c r="C85" s="46" t="s">
        <v>10328</v>
      </c>
    </row>
    <row r="86" spans="1:3" x14ac:dyDescent="0.35">
      <c r="A86" s="46" t="s">
        <v>2004</v>
      </c>
      <c r="B86" s="48" t="str">
        <f>IFERROR(INDEX(Mots!$B:$B,MATCH($A86,Mots!$A:$A,0)),"introuvable")</f>
        <v>le trombone</v>
      </c>
      <c r="C86" s="46" t="s">
        <v>10328</v>
      </c>
    </row>
    <row r="87" spans="1:3" x14ac:dyDescent="0.35">
      <c r="A87" s="46" t="s">
        <v>2000</v>
      </c>
      <c r="B87" s="48" t="str">
        <f>IFERROR(INDEX(Mots!$B:$B,MATCH($A87,Mots!$A:$A,0)),"introuvable")</f>
        <v>la basse</v>
      </c>
      <c r="C87" s="46" t="s">
        <v>10328</v>
      </c>
    </row>
    <row r="88" spans="1:3" x14ac:dyDescent="0.35">
      <c r="A88" s="46" t="s">
        <v>1950</v>
      </c>
      <c r="B88" s="48" t="str">
        <f>IFERROR(INDEX(Mots!$B:$B,MATCH($A88,Mots!$A:$A,0)),"introuvable")</f>
        <v>la batterie</v>
      </c>
      <c r="C88" s="46" t="s">
        <v>10328</v>
      </c>
    </row>
    <row r="89" spans="1:3" x14ac:dyDescent="0.35">
      <c r="A89" s="46" t="s">
        <v>1954</v>
      </c>
      <c r="B89" s="48" t="str">
        <f>IFERROR(INDEX(Mots!$B:$B,MATCH($A89,Mots!$A:$A,0)),"introuvable")</f>
        <v>la grosse caisse</v>
      </c>
      <c r="C89" s="46" t="s">
        <v>10328</v>
      </c>
    </row>
    <row r="90" spans="1:3" x14ac:dyDescent="0.35">
      <c r="A90" s="46" t="s">
        <v>1961</v>
      </c>
      <c r="B90" s="48" t="str">
        <f>IFERROR(INDEX(Mots!$B:$B,MATCH($A90,Mots!$A:$A,0)),"introuvable")</f>
        <v>les timbales</v>
      </c>
      <c r="C90" s="46" t="s">
        <v>10328</v>
      </c>
    </row>
    <row r="91" spans="1:3" x14ac:dyDescent="0.35">
      <c r="A91" s="46" t="s">
        <v>1964</v>
      </c>
      <c r="B91" s="48" t="str">
        <f>IFERROR(INDEX(Mots!$B:$B,MATCH($A91,Mots!$A:$A,0)),"introuvable")</f>
        <v>le xylophone</v>
      </c>
      <c r="C91" s="46" t="s">
        <v>10328</v>
      </c>
    </row>
    <row r="92" spans="1:3" x14ac:dyDescent="0.35">
      <c r="A92" s="46" t="s">
        <v>1967</v>
      </c>
      <c r="B92" s="48" t="str">
        <f>IFERROR(INDEX(Mots!$B:$B,MATCH($A92,Mots!$A:$A,0)),"introuvable")</f>
        <v>le vibraphone</v>
      </c>
      <c r="C92" s="46" t="s">
        <v>10328</v>
      </c>
    </row>
    <row r="93" spans="1:3" x14ac:dyDescent="0.35">
      <c r="A93" s="46" t="s">
        <v>1970</v>
      </c>
      <c r="B93" s="48" t="str">
        <f>IFERROR(INDEX(Mots!$B:$B,MATCH($A93,Mots!$A:$A,0)),"introuvable")</f>
        <v>le marimba</v>
      </c>
      <c r="C93" s="46" t="s">
        <v>10328</v>
      </c>
    </row>
    <row r="94" spans="1:3" x14ac:dyDescent="0.35">
      <c r="A94" s="46" t="s">
        <v>1958</v>
      </c>
      <c r="B94" s="48" t="str">
        <f>IFERROR(INDEX(Mots!$B:$B,MATCH($A94,Mots!$A:$A,0)),"introuvable")</f>
        <v>les cymbales</v>
      </c>
      <c r="C94" s="46" t="s">
        <v>10328</v>
      </c>
    </row>
    <row r="95" spans="1:3" x14ac:dyDescent="0.35">
      <c r="A95" s="46" t="s">
        <v>1973</v>
      </c>
      <c r="B95" s="48" t="str">
        <f>IFERROR(INDEX(Mots!$B:$B,MATCH($A95,Mots!$A:$A,0)),"introuvable")</f>
        <v>le tambour</v>
      </c>
      <c r="C95" s="46" t="s">
        <v>10328</v>
      </c>
    </row>
    <row r="96" spans="1:3" x14ac:dyDescent="0.35">
      <c r="A96" s="46" t="s">
        <v>630</v>
      </c>
      <c r="B96" s="48" t="str">
        <f>IFERROR(INDEX(Mots!$B:$B,MATCH($A96,Mots!$A:$A,0)),"introuvable")</f>
        <v>la répétition</v>
      </c>
      <c r="C96" s="46" t="s">
        <v>10326</v>
      </c>
    </row>
    <row r="97" spans="1:3" x14ac:dyDescent="0.35">
      <c r="A97" s="46" t="s">
        <v>626</v>
      </c>
      <c r="B97" s="48" t="str">
        <f>IFERROR(INDEX(Mots!$B:$B,MATCH($A97,Mots!$A:$A,0)),"introuvable")</f>
        <v>la partition</v>
      </c>
      <c r="C97" s="46" t="s">
        <v>10326</v>
      </c>
    </row>
    <row r="98" spans="1:3" x14ac:dyDescent="0.35">
      <c r="A98" s="46" t="s">
        <v>839</v>
      </c>
      <c r="B98" s="48" t="str">
        <f>IFERROR(INDEX(Mots!$B:$B,MATCH($A98,Mots!$A:$A,0)),"introuvable")</f>
        <v>la portée et les mesures</v>
      </c>
      <c r="C98" s="46" t="s">
        <v>10326</v>
      </c>
    </row>
    <row r="99" spans="1:3" x14ac:dyDescent="0.35">
      <c r="A99" s="46" t="s">
        <v>843</v>
      </c>
      <c r="B99" s="48" t="str">
        <f>IFERROR(INDEX(Mots!$B:$B,MATCH($A99,Mots!$A:$A,0)),"introuvable")</f>
        <v>la clé de sol</v>
      </c>
      <c r="C99" s="46" t="s">
        <v>10326</v>
      </c>
    </row>
    <row r="100" spans="1:3" x14ac:dyDescent="0.35">
      <c r="A100" s="46" t="s">
        <v>847</v>
      </c>
      <c r="B100" s="48" t="str">
        <f>IFERROR(INDEX(Mots!$B:$B,MATCH($A100,Mots!$A:$A,0)),"introuvable")</f>
        <v>les figures de notes</v>
      </c>
      <c r="C100" s="46" t="s">
        <v>10326</v>
      </c>
    </row>
    <row r="101" spans="1:3" x14ac:dyDescent="0.35">
      <c r="A101" s="46" t="s">
        <v>859</v>
      </c>
      <c r="B101" s="48" t="str">
        <f>IFERROR(INDEX(Mots!$B:$B,MATCH($A101,Mots!$A:$A,0)),"introuvable")</f>
        <v>les nuances</v>
      </c>
      <c r="C101" s="46" t="s">
        <v>10326</v>
      </c>
    </row>
    <row r="102" spans="1:3" x14ac:dyDescent="0.35">
      <c r="A102" s="46" t="s">
        <v>863</v>
      </c>
      <c r="B102" s="48" t="str">
        <f>IFERROR(INDEX(Mots!$B:$B,MATCH($A102,Mots!$A:$A,0)),"introuvable")</f>
        <v>le crescendo et decrescendo</v>
      </c>
      <c r="C102" s="46" t="s">
        <v>10326</v>
      </c>
    </row>
    <row r="103" spans="1:3" x14ac:dyDescent="0.35">
      <c r="A103" s="46" t="s">
        <v>1114</v>
      </c>
      <c r="B103" s="48" t="str">
        <f>IFERROR(INDEX(Mots!$B:$B,MATCH($A103,Mots!$A:$A,0)),"introuvable")</f>
        <v>la sourdine Cup</v>
      </c>
      <c r="C103" s="46" t="s">
        <v>10326</v>
      </c>
    </row>
    <row r="104" spans="1:3" x14ac:dyDescent="0.35">
      <c r="A104" s="46" t="s">
        <v>1117</v>
      </c>
      <c r="B104" s="48" t="str">
        <f>IFERROR(INDEX(Mots!$B:$B,MATCH($A104,Mots!$A:$A,0)),"introuvable")</f>
        <v>la sourdine straignt ou metal</v>
      </c>
      <c r="C104" s="46" t="s">
        <v>10326</v>
      </c>
    </row>
    <row r="105" spans="1:3" x14ac:dyDescent="0.35">
      <c r="A105" s="46" t="s">
        <v>851</v>
      </c>
      <c r="B105" s="48" t="str">
        <f>IFERROR(INDEX(Mots!$B:$B,MATCH($A105,Mots!$A:$A,0)),"introuvable")</f>
        <v>les altérations</v>
      </c>
      <c r="C105" s="46" t="s">
        <v>10326</v>
      </c>
    </row>
    <row r="106" spans="1:3" x14ac:dyDescent="0.35">
      <c r="A106" s="46" t="s">
        <v>855</v>
      </c>
      <c r="B106" s="48" t="str">
        <f>IFERROR(INDEX(Mots!$B:$B,MATCH($A106,Mots!$A:$A,0)),"introuvable")</f>
        <v>les silences</v>
      </c>
      <c r="C106" s="46" t="s">
        <v>10326</v>
      </c>
    </row>
    <row r="107" spans="1:3" x14ac:dyDescent="0.35">
      <c r="A107" s="46" t="s">
        <v>674</v>
      </c>
      <c r="B107" s="48" t="str">
        <f>IFERROR(INDEX(Mots!$B:$B,MATCH($A107,Mots!$A:$A,0)),"introuvable")</f>
        <v>le souffle</v>
      </c>
      <c r="C107" s="46" t="s">
        <v>10326</v>
      </c>
    </row>
    <row r="108" spans="1:3" x14ac:dyDescent="0.35">
      <c r="A108" s="46" t="s">
        <v>622</v>
      </c>
      <c r="B108" s="48" t="str">
        <f>IFERROR(INDEX(Mots!$B:$B,MATCH($A108,Mots!$A:$A,0)),"introuvable")</f>
        <v>la mélodie</v>
      </c>
      <c r="C108" s="46" t="s">
        <v>10326</v>
      </c>
    </row>
    <row r="109" spans="1:3" x14ac:dyDescent="0.35">
      <c r="A109" s="46" t="s">
        <v>7493</v>
      </c>
      <c r="B109" s="48" t="str">
        <f>IFERROR(INDEX(Mots!$B:$B,MATCH($A109,Mots!$A:$A,0)),"introuvable")</f>
        <v>le métronome</v>
      </c>
      <c r="C109" s="46" t="s">
        <v>10326</v>
      </c>
    </row>
    <row r="110" spans="1:3" x14ac:dyDescent="0.35">
      <c r="A110" s="46" t="s">
        <v>1147</v>
      </c>
      <c r="B110" s="48" t="str">
        <f>IFERROR(INDEX(Mots!$B:$B,MATCH($A110,Mots!$A:$A,0)),"introuvable")</f>
        <v>le pupitre</v>
      </c>
      <c r="C110" s="46" t="s">
        <v>10326</v>
      </c>
    </row>
    <row r="111" spans="1:3" x14ac:dyDescent="0.35">
      <c r="A111" s="46" t="s">
        <v>5713</v>
      </c>
      <c r="B111" s="48" t="str">
        <f>IFERROR(INDEX(Mots!$B:$B,MATCH($A111,Mots!$A:$A,0)),"introuvable")</f>
        <v>le crayon</v>
      </c>
      <c r="C111" s="46" t="s">
        <v>10326</v>
      </c>
    </row>
    <row r="112" spans="1:3" x14ac:dyDescent="0.35">
      <c r="A112" s="46" t="s">
        <v>638</v>
      </c>
      <c r="B112" s="48" t="str">
        <f>IFERROR(INDEX(Mots!$B:$B,MATCH($A112,Mots!$A:$A,0)),"introuvable")</f>
        <v>le directeur</v>
      </c>
      <c r="C112" s="46" t="s">
        <v>10326</v>
      </c>
    </row>
    <row r="113" spans="1:4" x14ac:dyDescent="0.35">
      <c r="A113" s="46" t="s">
        <v>607</v>
      </c>
      <c r="B113" s="48" t="str">
        <f>IFERROR(INDEX(Mots!$B:$B,MATCH($A113,Mots!$A:$A,0)),"introuvable")</f>
        <v>la baguette</v>
      </c>
      <c r="C113" s="46" t="s">
        <v>10326</v>
      </c>
      <c r="D113" s="46" t="s">
        <v>10328</v>
      </c>
    </row>
    <row r="114" spans="1:4" x14ac:dyDescent="0.35">
      <c r="A114" s="46" t="s">
        <v>7485</v>
      </c>
      <c r="B114" s="48" t="str">
        <f>IFERROR(INDEX(Mots!$B:$B,MATCH($A114,Mots!$A:$A,0)),"introuvable")</f>
        <v>la note</v>
      </c>
      <c r="C114" s="46" t="s">
        <v>10326</v>
      </c>
    </row>
    <row r="115" spans="1:4" x14ac:dyDescent="0.35">
      <c r="A115" s="46" t="s">
        <v>7489</v>
      </c>
      <c r="B115" s="48" t="str">
        <f>IFERROR(INDEX(Mots!$B:$B,MATCH($A115,Mots!$A:$A,0)),"introuvable")</f>
        <v>la gamme</v>
      </c>
      <c r="C115" s="46" t="s">
        <v>10326</v>
      </c>
    </row>
    <row r="116" spans="1:4" x14ac:dyDescent="0.35">
      <c r="A116" s="46" t="s">
        <v>670</v>
      </c>
      <c r="B116" s="48" t="str">
        <f>IFERROR(INDEX(Mots!$B:$B,MATCH($A116,Mots!$A:$A,0)),"introuvable")</f>
        <v>le son</v>
      </c>
      <c r="C116" s="46" t="s">
        <v>10326</v>
      </c>
    </row>
    <row r="117" spans="1:4" x14ac:dyDescent="0.35">
      <c r="A117" s="46" t="s">
        <v>642</v>
      </c>
      <c r="B117" s="48" t="str">
        <f>IFERROR(INDEX(Mots!$B:$B,MATCH($A117,Mots!$A:$A,0)),"introuvable")</f>
        <v>le concert</v>
      </c>
      <c r="C117" s="46" t="s">
        <v>10333</v>
      </c>
    </row>
    <row r="118" spans="1:4" ht="15.6" x14ac:dyDescent="0.35">
      <c r="A118" s="24" t="s">
        <v>1458</v>
      </c>
      <c r="B118" s="48" t="str">
        <f>IFERROR(INDEX(Mots!$B:$B,MATCH($A118,Mots!$A:$A,0)),"introuvable")</f>
        <v>la Salle polyvalente de Conthey</v>
      </c>
      <c r="C118" s="46" t="s">
        <v>10333</v>
      </c>
    </row>
    <row r="119" spans="1:4" x14ac:dyDescent="0.35">
      <c r="A119" s="46" t="s">
        <v>634</v>
      </c>
      <c r="B119" s="48" t="str">
        <f>IFERROR(INDEX(Mots!$B:$B,MATCH($A119,Mots!$A:$A,0)),"introuvable")</f>
        <v>la scène</v>
      </c>
      <c r="C119" s="46" t="s">
        <v>10333</v>
      </c>
    </row>
    <row r="120" spans="1:4" x14ac:dyDescent="0.35">
      <c r="A120" s="46" t="s">
        <v>666</v>
      </c>
      <c r="B120" s="48" t="str">
        <f>IFERROR(INDEX(Mots!$B:$B,MATCH($A120,Mots!$A:$A,0)),"introuvable")</f>
        <v>le public</v>
      </c>
      <c r="C120" s="46" t="s">
        <v>10333</v>
      </c>
    </row>
    <row r="121" spans="1:4" x14ac:dyDescent="0.35">
      <c r="A121" s="46" t="s">
        <v>686</v>
      </c>
      <c r="B121" s="48" t="str">
        <f>IFERROR(INDEX(Mots!$B:$B,MATCH($A121,Mots!$A:$A,0)),"introuvable")</f>
        <v>les applaudissements</v>
      </c>
      <c r="C121" s="46" t="s">
        <v>10333</v>
      </c>
    </row>
    <row r="122" spans="1:4" x14ac:dyDescent="0.35">
      <c r="A122" s="46" t="s">
        <v>1152</v>
      </c>
      <c r="B122" s="48" t="str">
        <f>IFERROR(INDEX(Mots!$B:$B,MATCH($A122,Mots!$A:$A,0)),"introuvable")</f>
        <v>l'uniforme</v>
      </c>
      <c r="C122" s="46" t="s">
        <v>10333</v>
      </c>
    </row>
    <row r="123" spans="1:4" x14ac:dyDescent="0.35">
      <c r="A123" s="46" t="s">
        <v>9683</v>
      </c>
      <c r="B123" s="48" t="str">
        <f>IFERROR(INDEX(Mots!$B:$B,MATCH($A123,Mots!$A:$A,0)),"introuvable")</f>
        <v>le défilé - le concours de marche</v>
      </c>
      <c r="C123" s="46" t="s">
        <v>10333</v>
      </c>
    </row>
    <row r="124" spans="1:4" x14ac:dyDescent="0.35">
      <c r="A124" s="46" t="s">
        <v>599</v>
      </c>
      <c r="B124" s="48" t="str">
        <f>IFERROR(INDEX(Mots!$B:$B,MATCH($A124,Mots!$A:$A,0)),"introuvable")</f>
        <v>la FMVC</v>
      </c>
      <c r="C124" s="46" t="s">
        <v>10333</v>
      </c>
    </row>
    <row r="125" spans="1:4" x14ac:dyDescent="0.35">
      <c r="A125" s="46" t="s">
        <v>2333</v>
      </c>
      <c r="B125" s="48" t="str">
        <f>IFERROR(INDEX(Mots!$B:$B,MATCH($A125,Mots!$A:$A,0)),"introuvable")</f>
        <v>le téléphone ou l'Iphone</v>
      </c>
      <c r="C125" s="46" t="s">
        <v>10324</v>
      </c>
      <c r="D125" s="46" t="s">
        <v>10330</v>
      </c>
    </row>
    <row r="126" spans="1:4" x14ac:dyDescent="0.35">
      <c r="A126" s="46" t="s">
        <v>2338</v>
      </c>
      <c r="B126" s="48" t="str">
        <f>IFERROR(INDEX(Mots!$B:$B,MATCH($A126,Mots!$A:$A,0)),"introuvable")</f>
        <v>l'Ipad ou la tablette</v>
      </c>
      <c r="C126" s="46" t="s">
        <v>10324</v>
      </c>
    </row>
    <row r="127" spans="1:4" x14ac:dyDescent="0.35">
      <c r="A127" s="46" t="s">
        <v>2325</v>
      </c>
      <c r="B127" s="48" t="str">
        <f>IFERROR(INDEX(Mots!$B:$B,MATCH($A127,Mots!$A:$A,0)),"introuvable")</f>
        <v>le chargeur</v>
      </c>
      <c r="C127" s="46" t="s">
        <v>10324</v>
      </c>
    </row>
    <row r="128" spans="1:4" x14ac:dyDescent="0.35">
      <c r="A128" s="46" t="s">
        <v>3389</v>
      </c>
      <c r="B128" s="48" t="str">
        <f>IFERROR(INDEX(Mots!$B:$B,MATCH($A128,Mots!$A:$A,0)),"introuvable")</f>
        <v>la prise</v>
      </c>
      <c r="C128" s="46" t="s">
        <v>10324</v>
      </c>
    </row>
    <row r="129" spans="1:4" x14ac:dyDescent="0.35">
      <c r="A129" s="46" t="s">
        <v>2329</v>
      </c>
      <c r="B129" s="48" t="str">
        <f>IFERROR(INDEX(Mots!$B:$B,MATCH($A129,Mots!$A:$A,0)),"introuvable")</f>
        <v>le porte-monnaie</v>
      </c>
      <c r="C129" s="46" t="s">
        <v>10324</v>
      </c>
      <c r="D129" s="46" t="s">
        <v>10330</v>
      </c>
    </row>
    <row r="130" spans="1:4" x14ac:dyDescent="0.35">
      <c r="A130" s="46" t="s">
        <v>9448</v>
      </c>
      <c r="B130" s="48" t="str">
        <f>IFERROR(INDEX(Mots!$B:$B,MATCH($A130,Mots!$A:$A,0)),"introuvable")</f>
        <v>la carte</v>
      </c>
      <c r="C130" s="46" t="s">
        <v>10324</v>
      </c>
    </row>
    <row r="131" spans="1:4" x14ac:dyDescent="0.35">
      <c r="A131" s="46" t="s">
        <v>1829</v>
      </c>
      <c r="B131" s="48" t="str">
        <f>IFERROR(INDEX(Mots!$B:$B,MATCH($A131,Mots!$A:$A,0)),"introuvable")</f>
        <v>l'argent</v>
      </c>
      <c r="C131" s="46" t="s">
        <v>10324</v>
      </c>
    </row>
    <row r="132" spans="1:4" x14ac:dyDescent="0.35">
      <c r="A132" s="46" t="s">
        <v>1394</v>
      </c>
      <c r="B132" s="48" t="str">
        <f>IFERROR(INDEX(Mots!$B:$B,MATCH($A132,Mots!$A:$A,0)),"introuvable")</f>
        <v>le billet de banque</v>
      </c>
      <c r="C132" s="46" t="s">
        <v>10324</v>
      </c>
    </row>
    <row r="133" spans="1:4" x14ac:dyDescent="0.35">
      <c r="A133" s="46" t="s">
        <v>2317</v>
      </c>
      <c r="B133" s="48" t="str">
        <f>IFERROR(INDEX(Mots!$B:$B,MATCH($A133,Mots!$A:$A,0)),"introuvable")</f>
        <v>la clé</v>
      </c>
      <c r="C133" s="46" t="s">
        <v>10324</v>
      </c>
    </row>
    <row r="134" spans="1:4" x14ac:dyDescent="0.35">
      <c r="A134" s="46" t="s">
        <v>3393</v>
      </c>
      <c r="B134" s="48" t="str">
        <f>IFERROR(INDEX(Mots!$B:$B,MATCH($A134,Mots!$A:$A,0)),"introuvable")</f>
        <v>la serrure</v>
      </c>
      <c r="C134" s="46" t="s">
        <v>10324</v>
      </c>
    </row>
    <row r="135" spans="1:4" x14ac:dyDescent="0.35">
      <c r="A135" s="46" t="s">
        <v>4600</v>
      </c>
      <c r="B135" s="48" t="str">
        <f>IFERROR(INDEX(Mots!$B:$B,MATCH($A135,Mots!$A:$A,0)),"introuvable")</f>
        <v>la lumière</v>
      </c>
      <c r="C135" s="46" t="s">
        <v>10324</v>
      </c>
      <c r="D135" s="46" t="s">
        <v>4657</v>
      </c>
    </row>
    <row r="136" spans="1:4" x14ac:dyDescent="0.35">
      <c r="A136" s="46" t="s">
        <v>3345</v>
      </c>
      <c r="B136" s="48" t="str">
        <f>IFERROR(INDEX(Mots!$B:$B,MATCH($A136,Mots!$A:$A,0)),"introuvable")</f>
        <v>la porte</v>
      </c>
      <c r="C136" s="46" t="s">
        <v>10324</v>
      </c>
    </row>
    <row r="137" spans="1:4" x14ac:dyDescent="0.35">
      <c r="A137" s="46" t="s">
        <v>835</v>
      </c>
      <c r="B137" s="48" t="str">
        <f>IFERROR(INDEX(Mots!$B:$B,MATCH($A137,Mots!$A:$A,0)),"introuvable")</f>
        <v>la lampe</v>
      </c>
      <c r="C137" s="46" t="s">
        <v>10324</v>
      </c>
    </row>
    <row r="138" spans="1:4" x14ac:dyDescent="0.35">
      <c r="A138" s="46" t="s">
        <v>9542</v>
      </c>
      <c r="B138" s="48" t="str">
        <f>IFERROR(INDEX(Mots!$B:$B,MATCH($A138,Mots!$A:$A,0)),"introuvable")</f>
        <v>l'interrupteur</v>
      </c>
      <c r="C138" s="46" t="s">
        <v>10324</v>
      </c>
    </row>
    <row r="139" spans="1:4" x14ac:dyDescent="0.35">
      <c r="A139" s="46" t="s">
        <v>3363</v>
      </c>
      <c r="B139" s="48" t="str">
        <f>IFERROR(INDEX(Mots!$B:$B,MATCH($A139,Mots!$A:$A,0)),"introuvable")</f>
        <v>l'ampoule</v>
      </c>
      <c r="C139" s="46" t="s">
        <v>10324</v>
      </c>
    </row>
    <row r="140" spans="1:4" x14ac:dyDescent="0.35">
      <c r="A140" s="46" t="s">
        <v>3349</v>
      </c>
      <c r="B140" s="48" t="str">
        <f>IFERROR(INDEX(Mots!$B:$B,MATCH($A140,Mots!$A:$A,0)),"introuvable")</f>
        <v>la fenêtre</v>
      </c>
      <c r="C140" s="46" t="s">
        <v>10324</v>
      </c>
    </row>
    <row r="141" spans="1:4" x14ac:dyDescent="0.35">
      <c r="A141" s="46" t="s">
        <v>3355</v>
      </c>
      <c r="B141" s="48" t="str">
        <f>IFERROR(INDEX(Mots!$B:$B,MATCH($A141,Mots!$A:$A,0)),"introuvable")</f>
        <v>les volets</v>
      </c>
      <c r="C141" s="46" t="s">
        <v>10324</v>
      </c>
    </row>
    <row r="142" spans="1:4" x14ac:dyDescent="0.35">
      <c r="A142" s="46" t="s">
        <v>10076</v>
      </c>
      <c r="B142" s="48" t="str">
        <f>IFERROR(INDEX(Mots!$B:$B,MATCH($A142,Mots!$A:$A,0)),"introuvable")</f>
        <v>le store</v>
      </c>
      <c r="C142" s="46" t="s">
        <v>10324</v>
      </c>
    </row>
    <row r="143" spans="1:4" x14ac:dyDescent="0.35">
      <c r="A143" s="46" t="s">
        <v>3228</v>
      </c>
      <c r="B143" s="48" t="str">
        <f>IFERROR(INDEX(Mots!$B:$B,MATCH($A143,Mots!$A:$A,0)),"introuvable")</f>
        <v>l'ordinateur</v>
      </c>
      <c r="C143" s="46" t="s">
        <v>10324</v>
      </c>
    </row>
    <row r="144" spans="1:4" x14ac:dyDescent="0.35">
      <c r="A144" s="46" t="s">
        <v>10062</v>
      </c>
      <c r="B144" s="48" t="str">
        <f>IFERROR(INDEX(Mots!$B:$B,MATCH($A144,Mots!$A:$A,0)),"introuvable")</f>
        <v>L'imprimante</v>
      </c>
      <c r="C144" s="46" t="s">
        <v>10324</v>
      </c>
    </row>
    <row r="145" spans="1:3" x14ac:dyDescent="0.35">
      <c r="A145" s="46" t="s">
        <v>3366</v>
      </c>
      <c r="B145" s="48" t="str">
        <f>IFERROR(INDEX(Mots!$B:$B,MATCH($A145,Mots!$A:$A,0)),"introuvable")</f>
        <v>les fusibles pour l'électricité</v>
      </c>
      <c r="C145" s="46" t="s">
        <v>10324</v>
      </c>
    </row>
    <row r="146" spans="1:3" x14ac:dyDescent="0.35">
      <c r="A146" s="46" t="s">
        <v>3359</v>
      </c>
      <c r="B146" s="48" t="str">
        <f>IFERROR(INDEX(Mots!$B:$B,MATCH($A146,Mots!$A:$A,0)),"introuvable")</f>
        <v>l'escalier</v>
      </c>
      <c r="C146" s="46" t="s">
        <v>10324</v>
      </c>
    </row>
    <row r="147" spans="1:3" x14ac:dyDescent="0.35">
      <c r="A147" s="46" t="s">
        <v>791</v>
      </c>
      <c r="B147" s="48" t="str">
        <f>IFERROR(INDEX(Mots!$B:$B,MATCH($A147,Mots!$A:$A,0)),"introuvable")</f>
        <v>le buffet</v>
      </c>
      <c r="C147" s="46" t="s">
        <v>10324</v>
      </c>
    </row>
    <row r="148" spans="1:3" x14ac:dyDescent="0.35">
      <c r="A148" s="46" t="s">
        <v>794</v>
      </c>
      <c r="B148" s="48" t="str">
        <f>IFERROR(INDEX(Mots!$B:$B,MATCH($A148,Mots!$A:$A,0)),"introuvable")</f>
        <v>la vaisselle</v>
      </c>
      <c r="C148" s="46" t="s">
        <v>10324</v>
      </c>
    </row>
    <row r="149" spans="1:3" x14ac:dyDescent="0.35">
      <c r="A149" s="46" t="s">
        <v>820</v>
      </c>
      <c r="B149" s="48" t="str">
        <f>IFERROR(INDEX(Mots!$B:$B,MATCH($A149,Mots!$A:$A,0)),"introuvable")</f>
        <v>le canapé</v>
      </c>
      <c r="C149" s="46" t="s">
        <v>10324</v>
      </c>
    </row>
    <row r="150" spans="1:3" x14ac:dyDescent="0.35">
      <c r="A150" s="46" t="s">
        <v>832</v>
      </c>
      <c r="B150" s="48" t="str">
        <f>IFERROR(INDEX(Mots!$B:$B,MATCH($A150,Mots!$A:$A,0)),"introuvable")</f>
        <v>la télévision</v>
      </c>
      <c r="C150" s="46" t="s">
        <v>10324</v>
      </c>
    </row>
    <row r="151" spans="1:3" x14ac:dyDescent="0.35">
      <c r="A151" s="46" t="s">
        <v>3224</v>
      </c>
      <c r="B151" s="48" t="str">
        <f>IFERROR(INDEX(Mots!$B:$B,MATCH($A151,Mots!$A:$A,0)),"introuvable")</f>
        <v>la calculatrice</v>
      </c>
      <c r="C151" s="46" t="s">
        <v>10324</v>
      </c>
    </row>
    <row r="152" spans="1:3" x14ac:dyDescent="0.35">
      <c r="A152" s="46" t="s">
        <v>802</v>
      </c>
      <c r="B152" s="48" t="str">
        <f>IFERROR(INDEX(Mots!$B:$B,MATCH($A152,Mots!$A:$A,0)),"introuvable")</f>
        <v>le lave-linge</v>
      </c>
      <c r="C152" s="46" t="s">
        <v>10324</v>
      </c>
    </row>
    <row r="153" spans="1:3" x14ac:dyDescent="0.35">
      <c r="A153" s="46" t="s">
        <v>808</v>
      </c>
      <c r="B153" s="48" t="str">
        <f>IFERROR(INDEX(Mots!$B:$B,MATCH($A153,Mots!$A:$A,0)),"introuvable")</f>
        <v>le sèche-linge</v>
      </c>
      <c r="C153" s="46" t="s">
        <v>10324</v>
      </c>
    </row>
    <row r="154" spans="1:3" x14ac:dyDescent="0.35">
      <c r="A154" s="46" t="s">
        <v>812</v>
      </c>
      <c r="B154" s="48" t="str">
        <f>IFERROR(INDEX(Mots!$B:$B,MATCH($A154,Mots!$A:$A,0)),"introuvable")</f>
        <v>le fer à repasser</v>
      </c>
      <c r="C154" s="46" t="s">
        <v>10324</v>
      </c>
    </row>
    <row r="155" spans="1:3" x14ac:dyDescent="0.35">
      <c r="A155" s="46" t="s">
        <v>3283</v>
      </c>
      <c r="B155" s="48" t="str">
        <f>IFERROR(INDEX(Mots!$B:$B,MATCH($A155,Mots!$A:$A,0)),"introuvable")</f>
        <v>le t-shirt</v>
      </c>
      <c r="C155" s="46" t="s">
        <v>10330</v>
      </c>
    </row>
    <row r="156" spans="1:3" x14ac:dyDescent="0.35">
      <c r="A156" s="46" t="s">
        <v>9449</v>
      </c>
      <c r="B156" s="48" t="str">
        <f>IFERROR(INDEX(Mots!$B:$B,MATCH($A156,Mots!$A:$A,0)),"introuvable")</f>
        <v>le pull ou pullover</v>
      </c>
      <c r="C156" s="46" t="s">
        <v>10330</v>
      </c>
    </row>
    <row r="157" spans="1:3" x14ac:dyDescent="0.35">
      <c r="A157" s="46" t="s">
        <v>10380</v>
      </c>
      <c r="B157" s="48" t="str">
        <f>IFERROR(INDEX(Mots!$B:$B,MATCH($A157,Mots!$A:$A,0)),"introuvable")</f>
        <v>la veste de randonnée</v>
      </c>
      <c r="C157" s="46" t="s">
        <v>10330</v>
      </c>
    </row>
    <row r="158" spans="1:3" x14ac:dyDescent="0.35">
      <c r="A158" s="46" t="s">
        <v>3270</v>
      </c>
      <c r="B158" s="48" t="str">
        <f>IFERROR(INDEX(Mots!$B:$B,MATCH($A158,Mots!$A:$A,0)),"introuvable")</f>
        <v>les cuissettes</v>
      </c>
      <c r="C158" s="46" t="s">
        <v>10330</v>
      </c>
    </row>
    <row r="159" spans="1:3" x14ac:dyDescent="0.35">
      <c r="A159" s="46" t="s">
        <v>4873</v>
      </c>
      <c r="B159" s="48" t="str">
        <f>IFERROR(INDEX(Mots!$B:$B,MATCH($A159,Mots!$A:$A,0)),"introuvable")</f>
        <v>la poche</v>
      </c>
      <c r="C159" s="46" t="s">
        <v>10330</v>
      </c>
    </row>
    <row r="160" spans="1:3" x14ac:dyDescent="0.35">
      <c r="A160" s="46" t="s">
        <v>1085</v>
      </c>
      <c r="B160" s="48" t="str">
        <f>IFERROR(INDEX(Mots!$B:$B,MATCH($A160,Mots!$A:$A,0)),"introuvable")</f>
        <v>la casquette</v>
      </c>
      <c r="C160" s="46" t="s">
        <v>10330</v>
      </c>
    </row>
    <row r="161" spans="1:4" x14ac:dyDescent="0.35">
      <c r="A161" s="46" t="s">
        <v>9620</v>
      </c>
      <c r="B161" s="48" t="str">
        <f>IFERROR(INDEX(Mots!$B:$B,MATCH($A161,Mots!$A:$A,0)),"introuvable")</f>
        <v>la gourde</v>
      </c>
      <c r="C161" s="46" t="s">
        <v>10330</v>
      </c>
    </row>
    <row r="162" spans="1:4" x14ac:dyDescent="0.35">
      <c r="A162" s="46" t="s">
        <v>9619</v>
      </c>
      <c r="B162" s="48" t="str">
        <f>IFERROR(INDEX(Mots!$B:$B,MATCH($A162,Mots!$A:$A,0)),"introuvable")</f>
        <v>les bâtons</v>
      </c>
      <c r="C162" s="46" t="s">
        <v>10330</v>
      </c>
    </row>
    <row r="163" spans="1:4" x14ac:dyDescent="0.35">
      <c r="A163" s="46" t="s">
        <v>6314</v>
      </c>
      <c r="B163" s="48" t="str">
        <f>IFERROR(INDEX(Mots!$B:$B,MATCH($A163,Mots!$A:$A,0)),"introuvable")</f>
        <v>le sac à dos</v>
      </c>
      <c r="C163" s="46" t="s">
        <v>10330</v>
      </c>
    </row>
    <row r="164" spans="1:4" x14ac:dyDescent="0.35">
      <c r="A164" s="46" t="s">
        <v>6719</v>
      </c>
      <c r="B164" s="48" t="str">
        <f>IFERROR(INDEX(Mots!$B:$B,MATCH($A164,Mots!$A:$A,0)),"introuvable")</f>
        <v>les jumelles</v>
      </c>
      <c r="C164" s="46" t="s">
        <v>10330</v>
      </c>
    </row>
    <row r="165" spans="1:4" x14ac:dyDescent="0.35">
      <c r="A165" s="46" t="s">
        <v>10365</v>
      </c>
      <c r="B165" s="48" t="str">
        <f>IFERROR(INDEX(Mots!$B:$B,MATCH($A165,Mots!$A:$A,0)),"introuvable")</f>
        <v>La chaussure de marche</v>
      </c>
      <c r="C165" s="46" t="s">
        <v>10330</v>
      </c>
    </row>
    <row r="166" spans="1:4" x14ac:dyDescent="0.35">
      <c r="A166" s="46" t="s">
        <v>9717</v>
      </c>
      <c r="B166" s="48" t="str">
        <f>IFERROR(INDEX(Mots!$B:$B,MATCH($A166,Mots!$A:$A,0)),"introuvable")</f>
        <v>Le lacet</v>
      </c>
      <c r="C166" s="46" t="s">
        <v>10330</v>
      </c>
    </row>
    <row r="167" spans="1:4" x14ac:dyDescent="0.35">
      <c r="A167" s="46" t="s">
        <v>10096</v>
      </c>
      <c r="B167" s="48" t="str">
        <f>IFERROR(INDEX(Mots!$B:$B,MATCH($A167,Mots!$A:$A,0)),"introuvable")</f>
        <v>La semelle</v>
      </c>
      <c r="C167" s="46" t="s">
        <v>10330</v>
      </c>
    </row>
    <row r="168" spans="1:4" x14ac:dyDescent="0.35">
      <c r="A168" s="46" t="s">
        <v>9632</v>
      </c>
      <c r="B168" s="48" t="str">
        <f>IFERROR(INDEX(Mots!$B:$B,MATCH($A168,Mots!$A:$A,0)),"introuvable")</f>
        <v>le mouchoir</v>
      </c>
      <c r="C168" s="46" t="s">
        <v>10330</v>
      </c>
    </row>
    <row r="169" spans="1:4" x14ac:dyDescent="0.35">
      <c r="A169" s="46" t="s">
        <v>5603</v>
      </c>
      <c r="B169" s="48" t="str">
        <f>IFERROR(INDEX(Mots!$B:$B,MATCH($A169,Mots!$A:$A,0)),"introuvable")</f>
        <v>le chemin</v>
      </c>
      <c r="C169" s="46" t="s">
        <v>10330</v>
      </c>
    </row>
    <row r="170" spans="1:4" x14ac:dyDescent="0.35">
      <c r="A170" s="46" t="s">
        <v>1608</v>
      </c>
      <c r="B170" s="48" t="str">
        <f>IFERROR(INDEX(Mots!$B:$B,MATCH($A170,Mots!$A:$A,0)),"introuvable")</f>
        <v>la forêt</v>
      </c>
      <c r="C170" s="46" t="s">
        <v>10330</v>
      </c>
    </row>
    <row r="171" spans="1:4" x14ac:dyDescent="0.35">
      <c r="A171" s="46" t="s">
        <v>1622</v>
      </c>
      <c r="B171" s="48" t="str">
        <f>IFERROR(INDEX(Mots!$B:$B,MATCH($A171,Mots!$A:$A,0)),"introuvable")</f>
        <v>la montagne</v>
      </c>
      <c r="C171" s="46" t="s">
        <v>10330</v>
      </c>
    </row>
    <row r="172" spans="1:4" x14ac:dyDescent="0.35">
      <c r="A172" s="46" t="s">
        <v>1630</v>
      </c>
      <c r="B172" s="48" t="str">
        <f>IFERROR(INDEX(Mots!$B:$B,MATCH($A172,Mots!$A:$A,0)),"introuvable")</f>
        <v>le rocher</v>
      </c>
      <c r="C172" s="46" t="s">
        <v>10330</v>
      </c>
    </row>
    <row r="173" spans="1:4" x14ac:dyDescent="0.35">
      <c r="A173" s="46" t="s">
        <v>1627</v>
      </c>
      <c r="B173" s="48" t="str">
        <f>IFERROR(INDEX(Mots!$B:$B,MATCH($A173,Mots!$A:$A,0)),"introuvable")</f>
        <v>la rivière</v>
      </c>
      <c r="C173" s="46" t="s">
        <v>10330</v>
      </c>
    </row>
    <row r="174" spans="1:4" x14ac:dyDescent="0.35">
      <c r="A174" s="46" t="s">
        <v>5893</v>
      </c>
      <c r="B174" s="48" t="str">
        <f>IFERROR(INDEX(Mots!$B:$B,MATCH($A174,Mots!$A:$A,0)),"introuvable")</f>
        <v>le lac</v>
      </c>
      <c r="C174" s="46" t="s">
        <v>10330</v>
      </c>
    </row>
    <row r="175" spans="1:4" x14ac:dyDescent="0.35">
      <c r="A175" s="46" t="s">
        <v>4657</v>
      </c>
      <c r="B175" s="48" t="str">
        <f>IFERROR(INDEX(Mots!$B:$B,MATCH($A175,Mots!$A:$A,0)),"introuvable")</f>
        <v>la météo</v>
      </c>
      <c r="C175" s="46" t="s">
        <v>10330</v>
      </c>
    </row>
    <row r="176" spans="1:4" x14ac:dyDescent="0.35">
      <c r="A176" s="47" t="s">
        <v>2390</v>
      </c>
      <c r="B176" s="48" t="str">
        <f>IFERROR(INDEX(Mots!$B:$B,MATCH($A176,Mots!$A:$A,0)),"introuvable")</f>
        <v>chaud  ↔  froid</v>
      </c>
      <c r="C176" s="46" t="s">
        <v>10330</v>
      </c>
      <c r="D176" s="46" t="s">
        <v>4657</v>
      </c>
    </row>
    <row r="177" spans="1:4" x14ac:dyDescent="0.35">
      <c r="A177" s="46" t="s">
        <v>1661</v>
      </c>
      <c r="B177" s="48" t="str">
        <f>IFERROR(INDEX(Mots!$B:$B,MATCH($A177,Mots!$A:$A,0)),"introuvable")</f>
        <v>le ciel</v>
      </c>
      <c r="C177" s="46" t="s">
        <v>10330</v>
      </c>
      <c r="D177" s="46" t="s">
        <v>4657</v>
      </c>
    </row>
    <row r="178" spans="1:4" x14ac:dyDescent="0.35">
      <c r="A178" s="46" t="s">
        <v>1669</v>
      </c>
      <c r="B178" s="48" t="str">
        <f>IFERROR(INDEX(Mots!$B:$B,MATCH($A178,Mots!$A:$A,0)),"introuvable")</f>
        <v>le soleil</v>
      </c>
      <c r="C178" s="46" t="s">
        <v>10330</v>
      </c>
      <c r="D178" s="46" t="s">
        <v>4657</v>
      </c>
    </row>
    <row r="179" spans="1:4" x14ac:dyDescent="0.35">
      <c r="A179" s="46" t="s">
        <v>6035</v>
      </c>
      <c r="B179" s="48" t="str">
        <f>IFERROR(INDEX(Mots!$B:$B,MATCH($A179,Mots!$A:$A,0)),"introuvable")</f>
        <v>le nuage</v>
      </c>
      <c r="C179" s="46" t="s">
        <v>10330</v>
      </c>
      <c r="D179" s="46" t="s">
        <v>4657</v>
      </c>
    </row>
    <row r="180" spans="1:4" x14ac:dyDescent="0.35">
      <c r="A180" s="46" t="s">
        <v>5482</v>
      </c>
      <c r="B180" s="48" t="str">
        <f>IFERROR(INDEX(Mots!$B:$B,MATCH($A180,Mots!$A:$A,0)),"introuvable")</f>
        <v>le brouillard</v>
      </c>
      <c r="C180" s="46" t="s">
        <v>10330</v>
      </c>
      <c r="D180" s="46" t="s">
        <v>4657</v>
      </c>
    </row>
    <row r="181" spans="1:4" x14ac:dyDescent="0.35">
      <c r="A181" s="46" t="s">
        <v>6560</v>
      </c>
      <c r="B181" s="48" t="str">
        <f>IFERROR(INDEX(Mots!$B:$B,MATCH($A181,Mots!$A:$A,0)),"introuvable")</f>
        <v>le vent</v>
      </c>
      <c r="C181" s="46" t="s">
        <v>10330</v>
      </c>
      <c r="D181" s="46" t="s">
        <v>4657</v>
      </c>
    </row>
    <row r="182" spans="1:4" x14ac:dyDescent="0.35">
      <c r="A182" s="46" t="s">
        <v>4857</v>
      </c>
      <c r="B182" s="48" t="str">
        <f>IFERROR(INDEX(Mots!$B:$B,MATCH($A182,Mots!$A:$A,0)),"introuvable")</f>
        <v>la pluie</v>
      </c>
      <c r="C182" s="46" t="s">
        <v>10330</v>
      </c>
      <c r="D182" s="46" t="s">
        <v>4657</v>
      </c>
    </row>
    <row r="183" spans="1:4" x14ac:dyDescent="0.35">
      <c r="A183" s="46" t="s">
        <v>1175</v>
      </c>
      <c r="B183" s="48" t="str">
        <f>IFERROR(INDEX(Mots!$B:$B,MATCH($A183,Mots!$A:$A,0)),"introuvable")</f>
        <v>la vache</v>
      </c>
      <c r="C183" s="46" t="s">
        <v>10330</v>
      </c>
    </row>
    <row r="184" spans="1:4" x14ac:dyDescent="0.35">
      <c r="A184" s="46" t="s">
        <v>1185</v>
      </c>
      <c r="B184" s="48" t="str">
        <f>IFERROR(INDEX(Mots!$B:$B,MATCH($A184,Mots!$A:$A,0)),"introuvable")</f>
        <v>le mouton</v>
      </c>
      <c r="C184" s="46" t="s">
        <v>10330</v>
      </c>
    </row>
    <row r="185" spans="1:4" x14ac:dyDescent="0.35">
      <c r="A185" s="46" t="s">
        <v>1243</v>
      </c>
      <c r="B185" s="48" t="str">
        <f>IFERROR(INDEX(Mots!$B:$B,MATCH($A185,Mots!$A:$A,0)),"introuvable")</f>
        <v>la marmotte</v>
      </c>
      <c r="C185" s="46" t="s">
        <v>10330</v>
      </c>
    </row>
    <row r="186" spans="1:4" x14ac:dyDescent="0.35">
      <c r="A186" s="46" t="s">
        <v>1257</v>
      </c>
      <c r="B186" s="48" t="str">
        <f>IFERROR(INDEX(Mots!$B:$B,MATCH($A186,Mots!$A:$A,0)),"introuvable")</f>
        <v>le chamois</v>
      </c>
      <c r="C186" s="46" t="s">
        <v>10330</v>
      </c>
    </row>
    <row r="187" spans="1:4" x14ac:dyDescent="0.35">
      <c r="A187" s="46" t="s">
        <v>1269</v>
      </c>
      <c r="B187" s="48" t="str">
        <f>IFERROR(INDEX(Mots!$B:$B,MATCH($A187,Mots!$A:$A,0)),"introuvable")</f>
        <v>le bouquetin</v>
      </c>
      <c r="C187" s="46" t="s">
        <v>10330</v>
      </c>
    </row>
    <row r="188" spans="1:4" x14ac:dyDescent="0.35">
      <c r="A188" s="46" t="s">
        <v>6451</v>
      </c>
      <c r="B188" s="48" t="str">
        <f>IFERROR(INDEX(Mots!$B:$B,MATCH($A188,Mots!$A:$A,0)),"introuvable")</f>
        <v>le thermomètre</v>
      </c>
      <c r="C188" s="46" t="s">
        <v>4657</v>
      </c>
    </row>
    <row r="189" spans="1:4" x14ac:dyDescent="0.35">
      <c r="A189" s="46" t="s">
        <v>7764</v>
      </c>
      <c r="B189" s="48" t="str">
        <f>IFERROR(INDEX(Mots!$B:$B,MATCH($A189,Mots!$A:$A,0)),"introuvable")</f>
        <v>la température</v>
      </c>
      <c r="C189" s="46" t="s">
        <v>4657</v>
      </c>
    </row>
    <row r="190" spans="1:4" x14ac:dyDescent="0.35">
      <c r="A190" s="46" t="s">
        <v>5753</v>
      </c>
      <c r="B190" s="48" t="str">
        <f>IFERROR(INDEX(Mots!$B:$B,MATCH($A190,Mots!$A:$A,0)),"introuvable")</f>
        <v>le degré</v>
      </c>
      <c r="C190" s="46" t="s">
        <v>4657</v>
      </c>
    </row>
    <row r="191" spans="1:4" x14ac:dyDescent="0.35">
      <c r="A191" s="46" t="s">
        <v>2941</v>
      </c>
      <c r="B191" s="48" t="str">
        <f>IFERROR(INDEX(Mots!$B:$B,MATCH($A191,Mots!$A:$A,0)),"introuvable")</f>
        <v>Dacia Duster</v>
      </c>
      <c r="C191" s="46" t="s">
        <v>10390</v>
      </c>
    </row>
    <row r="192" spans="1:4" x14ac:dyDescent="0.35">
      <c r="A192" s="46" t="s">
        <v>7615</v>
      </c>
      <c r="B192" s="48" t="str">
        <f>IFERROR(INDEX(Mots!$B:$B,MATCH($A192,Mots!$A:$A,0)),"introuvable")</f>
        <v>introuvable</v>
      </c>
      <c r="C192" s="46" t="s">
        <v>10390</v>
      </c>
    </row>
    <row r="193" spans="1:3" x14ac:dyDescent="0.35">
      <c r="A193" s="46" t="s">
        <v>2871</v>
      </c>
      <c r="B193" s="48" t="str">
        <f>IFERROR(INDEX(Mots!$B:$B,MATCH($A193,Mots!$A:$A,0)),"introuvable")</f>
        <v>la route</v>
      </c>
      <c r="C193" s="46" t="s">
        <v>10390</v>
      </c>
    </row>
    <row r="194" spans="1:3" x14ac:dyDescent="0.35">
      <c r="A194" s="46" t="s">
        <v>5308</v>
      </c>
      <c r="B194" s="48" t="str">
        <f>IFERROR(INDEX(Mots!$B:$B,MATCH($A194,Mots!$A:$A,0)),"introuvable")</f>
        <v>l'autoroute</v>
      </c>
      <c r="C194" s="46" t="s">
        <v>10390</v>
      </c>
    </row>
    <row r="195" spans="1:3" x14ac:dyDescent="0.35">
      <c r="A195" s="46" t="s">
        <v>2090</v>
      </c>
      <c r="B195" s="48" t="str">
        <f>IFERROR(INDEX(Mots!$B:$B,MATCH($A195,Mots!$A:$A,0)),"introuvable")</f>
        <v>le tunnel</v>
      </c>
      <c r="C195" s="46" t="s">
        <v>10390</v>
      </c>
    </row>
    <row r="196" spans="1:3" x14ac:dyDescent="0.35">
      <c r="A196" s="46" t="s">
        <v>2985</v>
      </c>
      <c r="B196" s="48" t="str">
        <f>IFERROR(INDEX(Mots!$B:$B,MATCH($A196,Mots!$A:$A,0)),"introuvable")</f>
        <v>le phare</v>
      </c>
      <c r="C196" s="46" t="s">
        <v>10390</v>
      </c>
    </row>
    <row r="197" spans="1:3" x14ac:dyDescent="0.35">
      <c r="A197" s="46" t="s">
        <v>2085</v>
      </c>
      <c r="B197" s="48" t="str">
        <f>IFERROR(INDEX(Mots!$B:$B,MATCH($A197,Mots!$A:$A,0)),"introuvable")</f>
        <v>le pont</v>
      </c>
      <c r="C197" s="46" t="s">
        <v>10390</v>
      </c>
    </row>
    <row r="198" spans="1:3" x14ac:dyDescent="0.35">
      <c r="A198" s="46" t="s">
        <v>3233</v>
      </c>
      <c r="B198" s="48" t="str">
        <f>IFERROR(INDEX(Mots!$B:$B,MATCH($A198,Mots!$A:$A,0)),"introuvable")</f>
        <v>l'essence</v>
      </c>
      <c r="C198" s="46" t="s">
        <v>10390</v>
      </c>
    </row>
    <row r="199" spans="1:3" x14ac:dyDescent="0.35">
      <c r="A199" s="46" t="s">
        <v>3249</v>
      </c>
      <c r="B199" s="48" t="str">
        <f>IFERROR(INDEX(Mots!$B:$B,MATCH($A199,Mots!$A:$A,0)),"introuvable")</f>
        <v>l'entonnoir</v>
      </c>
      <c r="C199" s="46" t="s">
        <v>10390</v>
      </c>
    </row>
    <row r="200" spans="1:3" x14ac:dyDescent="0.35">
      <c r="A200" s="46" t="s">
        <v>5208</v>
      </c>
      <c r="B200" s="48" t="str">
        <f>IFERROR(INDEX(Mots!$B:$B,MATCH($A200,Mots!$A:$A,0)),"introuvable")</f>
        <v>l'accident</v>
      </c>
      <c r="C200" s="46" t="s">
        <v>10390</v>
      </c>
    </row>
    <row r="201" spans="1:3" x14ac:dyDescent="0.35">
      <c r="A201" s="46" t="s">
        <v>1383</v>
      </c>
      <c r="B201" s="48" t="str">
        <f>IFERROR(INDEX(Mots!$B:$B,MATCH($A201,Mots!$A:$A,0)),"introuvable")</f>
        <v>Assurance Helvetia</v>
      </c>
      <c r="C201" s="46" t="s">
        <v>10390</v>
      </c>
    </row>
    <row r="202" spans="1:3" x14ac:dyDescent="0.35">
      <c r="A202" s="46" t="s">
        <v>5745</v>
      </c>
      <c r="B202" s="48" t="str">
        <f>IFERROR(INDEX(Mots!$B:$B,MATCH($A202,Mots!$A:$A,0)),"introuvable")</f>
        <v>le dégât</v>
      </c>
      <c r="C202" s="46" t="s">
        <v>10390</v>
      </c>
    </row>
    <row r="203" spans="1:3" x14ac:dyDescent="0.35">
      <c r="A203" s="46" t="s">
        <v>5608</v>
      </c>
      <c r="B203" s="48" t="str">
        <f>IFERROR(INDEX(Mots!$B:$B,MATCH($A203,Mots!$A:$A,0)),"introuvable")</f>
        <v>le choc</v>
      </c>
      <c r="C203" s="46" t="s">
        <v>10390</v>
      </c>
    </row>
    <row r="204" spans="1:3" x14ac:dyDescent="0.35">
      <c r="A204" s="46" t="s">
        <v>4719</v>
      </c>
      <c r="B204" s="48" t="str">
        <f>IFERROR(INDEX(Mots!$B:$B,MATCH($A204,Mots!$A:$A,0)),"introuvable")</f>
        <v>la panne</v>
      </c>
      <c r="C204" s="46" t="s">
        <v>10390</v>
      </c>
    </row>
    <row r="205" spans="1:3" x14ac:dyDescent="0.35">
      <c r="A205" s="46" t="s">
        <v>3017</v>
      </c>
      <c r="B205" s="48" t="str">
        <f>IFERROR(INDEX(Mots!$B:$B,MATCH($A205,Mots!$A:$A,0)),"introuvable")</f>
        <v>le coffre</v>
      </c>
      <c r="C205" s="46" t="s">
        <v>10390</v>
      </c>
    </row>
    <row r="206" spans="1:3" x14ac:dyDescent="0.35">
      <c r="A206" s="46" t="s">
        <v>5996</v>
      </c>
      <c r="B206" s="48" t="str">
        <f>IFERROR(INDEX(Mots!$B:$B,MATCH($A206,Mots!$A:$A,0)),"introuvable")</f>
        <v>le moteur</v>
      </c>
      <c r="C206" s="46" t="s">
        <v>10390</v>
      </c>
    </row>
    <row r="207" spans="1:3" x14ac:dyDescent="0.35">
      <c r="A207" s="46" t="s">
        <v>3240</v>
      </c>
      <c r="B207" s="48" t="str">
        <f>IFERROR(INDEX(Mots!$B:$B,MATCH($A207,Mots!$A:$A,0)),"introuvable")</f>
        <v>l'huile moteur</v>
      </c>
      <c r="C207" s="46" t="s">
        <v>10390</v>
      </c>
    </row>
    <row r="208" spans="1:3" x14ac:dyDescent="0.35">
      <c r="A208" s="46" t="s">
        <v>6330</v>
      </c>
      <c r="B208" s="48" t="str">
        <f>IFERROR(INDEX(Mots!$B:$B,MATCH($A208,Mots!$A:$A,0)),"introuvable")</f>
        <v>le secours</v>
      </c>
      <c r="C208" s="46" t="s">
        <v>10390</v>
      </c>
    </row>
    <row r="209" spans="1:3" x14ac:dyDescent="0.35">
      <c r="A209" s="46" t="s">
        <v>2156</v>
      </c>
      <c r="B209" s="48" t="str">
        <f>IFERROR(INDEX(Mots!$B:$B,MATCH($A209,Mots!$A:$A,0)),"introuvable")</f>
        <v>le médecin</v>
      </c>
      <c r="C209" s="46" t="s">
        <v>10390</v>
      </c>
    </row>
    <row r="210" spans="1:3" x14ac:dyDescent="0.35">
      <c r="A210" s="46" t="s">
        <v>10389</v>
      </c>
      <c r="B210" s="48" t="str">
        <f>IFERROR(INDEX(Mots!$B:$B,MATCH($A210,Mots!$A:$A,0)),"introuvable")</f>
        <v>introuvable</v>
      </c>
      <c r="C210" s="46" t="s">
        <v>10390</v>
      </c>
    </row>
    <row r="211" spans="1:3" x14ac:dyDescent="0.35">
      <c r="A211" s="46" t="s">
        <v>2944</v>
      </c>
      <c r="B211" s="48" t="str">
        <f>IFERROR(INDEX(Mots!$B:$B,MATCH($A211,Mots!$A:$A,0)),"introuvable")</f>
        <v>le pare-brise</v>
      </c>
      <c r="C211" s="46" t="s">
        <v>10390</v>
      </c>
    </row>
    <row r="212" spans="1:3" x14ac:dyDescent="0.35">
      <c r="A212" s="46" t="s">
        <v>2948</v>
      </c>
      <c r="B212" s="48" t="str">
        <f>IFERROR(INDEX(Mots!$B:$B,MATCH($A212,Mots!$A:$A,0)),"introuvable")</f>
        <v>les essuie glace</v>
      </c>
      <c r="C212" s="46" t="s">
        <v>10390</v>
      </c>
    </row>
    <row r="213" spans="1:3" x14ac:dyDescent="0.35">
      <c r="A213" s="46" t="s">
        <v>3244</v>
      </c>
      <c r="B213" s="48" t="str">
        <f>IFERROR(INDEX(Mots!$B:$B,MATCH($A213,Mots!$A:$A,0)),"introuvable")</f>
        <v>le liquide lave-glace</v>
      </c>
      <c r="C213" s="46" t="s">
        <v>10390</v>
      </c>
    </row>
    <row r="214" spans="1:3" x14ac:dyDescent="0.35">
      <c r="A214" s="46" t="s">
        <v>2951</v>
      </c>
      <c r="B214" s="48" t="str">
        <f>IFERROR(INDEX(Mots!$B:$B,MATCH($A214,Mots!$A:$A,0)),"introuvable")</f>
        <v>le capot</v>
      </c>
      <c r="C214" s="46" t="s">
        <v>10390</v>
      </c>
    </row>
    <row r="215" spans="1:3" x14ac:dyDescent="0.35">
      <c r="A215" s="46" t="s">
        <v>2954</v>
      </c>
      <c r="B215" s="48" t="str">
        <f>IFERROR(INDEX(Mots!$B:$B,MATCH($A215,Mots!$A:$A,0)),"introuvable")</f>
        <v>l'aile</v>
      </c>
      <c r="C215" s="46" t="s">
        <v>10390</v>
      </c>
    </row>
    <row r="216" spans="1:3" x14ac:dyDescent="0.35">
      <c r="A216" s="46" t="s">
        <v>2957</v>
      </c>
      <c r="B216" s="48" t="str">
        <f>IFERROR(INDEX(Mots!$B:$B,MATCH($A216,Mots!$A:$A,0)),"introuvable")</f>
        <v>le pare-chocs</v>
      </c>
      <c r="C216" s="46" t="s">
        <v>10390</v>
      </c>
    </row>
    <row r="217" spans="1:3" x14ac:dyDescent="0.35">
      <c r="A217" s="46" t="s">
        <v>2965</v>
      </c>
      <c r="B217" s="48" t="str">
        <f>IFERROR(INDEX(Mots!$B:$B,MATCH($A217,Mots!$A:$A,0)),"introuvable")</f>
        <v>la portière</v>
      </c>
      <c r="C217" s="46" t="s">
        <v>10390</v>
      </c>
    </row>
    <row r="218" spans="1:3" x14ac:dyDescent="0.35">
      <c r="A218" s="46" t="s">
        <v>2993</v>
      </c>
      <c r="B218" s="48" t="str">
        <f>IFERROR(INDEX(Mots!$B:$B,MATCH($A218,Mots!$A:$A,0)),"introuvable")</f>
        <v>le rétroviseur</v>
      </c>
      <c r="C218" s="46" t="s">
        <v>10390</v>
      </c>
    </row>
    <row r="219" spans="1:3" x14ac:dyDescent="0.35">
      <c r="A219" s="46" t="s">
        <v>2973</v>
      </c>
      <c r="B219" s="48" t="str">
        <f>IFERROR(INDEX(Mots!$B:$B,MATCH($A219,Mots!$A:$A,0)),"introuvable")</f>
        <v>le clignotant</v>
      </c>
      <c r="C219" s="46" t="s">
        <v>10390</v>
      </c>
    </row>
    <row r="220" spans="1:3" x14ac:dyDescent="0.35">
      <c r="A220" s="46" t="s">
        <v>2977</v>
      </c>
      <c r="B220" s="48" t="str">
        <f>IFERROR(INDEX(Mots!$B:$B,MATCH($A220,Mots!$A:$A,0)),"introuvable")</f>
        <v>le klaxon</v>
      </c>
      <c r="C220" s="46" t="s">
        <v>10390</v>
      </c>
    </row>
    <row r="221" spans="1:3" x14ac:dyDescent="0.35">
      <c r="A221" s="46" t="s">
        <v>3004</v>
      </c>
      <c r="B221" s="48" t="str">
        <f>IFERROR(INDEX(Mots!$B:$B,MATCH($A221,Mots!$A:$A,0)),"introuvable")</f>
        <v>le volant</v>
      </c>
      <c r="C221" s="46" t="s">
        <v>10390</v>
      </c>
    </row>
    <row r="222" spans="1:3" x14ac:dyDescent="0.35">
      <c r="A222" s="46" t="s">
        <v>3013</v>
      </c>
      <c r="B222" s="48" t="str">
        <f>IFERROR(INDEX(Mots!$B:$B,MATCH($A222,Mots!$A:$A,0)),"introuvable")</f>
        <v>le tableau de bord</v>
      </c>
      <c r="C222" s="46" t="s">
        <v>10390</v>
      </c>
    </row>
    <row r="223" spans="1:3" x14ac:dyDescent="0.35">
      <c r="A223" s="46" t="s">
        <v>3020</v>
      </c>
      <c r="B223" s="48" t="str">
        <f>IFERROR(INDEX(Mots!$B:$B,MATCH($A223,Mots!$A:$A,0)),"introuvable")</f>
        <v>la vitesse</v>
      </c>
      <c r="C223" s="46" t="s">
        <v>10390</v>
      </c>
    </row>
    <row r="224" spans="1:3" x14ac:dyDescent="0.35">
      <c r="A224" s="46" t="s">
        <v>7497</v>
      </c>
      <c r="B224" s="48" t="str">
        <f>IFERROR(INDEX(Mots!$B:$B,MATCH($A224,Mots!$A:$A,0)),"introuvable")</f>
        <v>le levier de vitesse</v>
      </c>
      <c r="C224" s="46" t="s">
        <v>10390</v>
      </c>
    </row>
    <row r="225" spans="1:3" x14ac:dyDescent="0.35">
      <c r="A225" s="46" t="s">
        <v>3001</v>
      </c>
      <c r="B225" s="48" t="str">
        <f>IFERROR(INDEX(Mots!$B:$B,MATCH($A225,Mots!$A:$A,0)),"introuvable")</f>
        <v>le siège</v>
      </c>
      <c r="C225" s="46" t="s">
        <v>10390</v>
      </c>
    </row>
    <row r="226" spans="1:3" x14ac:dyDescent="0.35">
      <c r="A226" s="46" t="s">
        <v>9642</v>
      </c>
      <c r="B226" s="48" t="str">
        <f>IFERROR(INDEX(Mots!$B:$B,MATCH($A226,Mots!$A:$A,0)),"introuvable")</f>
        <v>la jante</v>
      </c>
      <c r="C226" s="46" t="s">
        <v>10390</v>
      </c>
    </row>
    <row r="227" spans="1:3" x14ac:dyDescent="0.35">
      <c r="A227" s="46" t="s">
        <v>9641</v>
      </c>
      <c r="B227" s="48" t="str">
        <f>IFERROR(INDEX(Mots!$B:$B,MATCH($A227,Mots!$A:$A,0)),"introuvable")</f>
        <v>le pneu</v>
      </c>
      <c r="C227" s="46" t="s">
        <v>10390</v>
      </c>
    </row>
    <row r="228" spans="1:3" x14ac:dyDescent="0.35">
      <c r="A228" s="46" t="s">
        <v>1474</v>
      </c>
      <c r="B228" s="48" t="str">
        <f>IFERROR(INDEX(Mots!$B:$B,MATCH($A228,Mots!$A:$A,0)),"introuvable")</f>
        <v>l'hôpital de Sion</v>
      </c>
      <c r="C228" s="46" t="s">
        <v>10390</v>
      </c>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7696</v>
      </c>
      <c r="C1" s="9" t="s">
        <v>1</v>
      </c>
    </row>
    <row r="2" spans="1:3" x14ac:dyDescent="0.3">
      <c r="A2" s="8" t="s">
        <v>415</v>
      </c>
      <c r="B2" s="8" t="s">
        <v>9247</v>
      </c>
      <c r="C2" s="8">
        <v>1</v>
      </c>
    </row>
    <row r="3" spans="1:3" x14ac:dyDescent="0.3">
      <c r="A3" s="8" t="s">
        <v>458</v>
      </c>
      <c r="B3" s="8" t="s">
        <v>9248</v>
      </c>
      <c r="C3" s="8">
        <v>2</v>
      </c>
    </row>
    <row r="4" spans="1:3" x14ac:dyDescent="0.3">
      <c r="A4" s="8" t="s">
        <v>1169</v>
      </c>
      <c r="B4" s="8" t="s">
        <v>7745</v>
      </c>
      <c r="C4" s="8">
        <v>3</v>
      </c>
    </row>
    <row r="5" spans="1:3" x14ac:dyDescent="0.3">
      <c r="A5" s="8" t="s">
        <v>1434</v>
      </c>
      <c r="B5" s="8" t="s">
        <v>9249</v>
      </c>
      <c r="C5" s="8">
        <v>4</v>
      </c>
    </row>
    <row r="6" spans="1:3" x14ac:dyDescent="0.3">
      <c r="A6" s="8" t="s">
        <v>3413</v>
      </c>
      <c r="B6" s="8" t="s">
        <v>9250</v>
      </c>
      <c r="C6" s="8">
        <v>5</v>
      </c>
    </row>
    <row r="7" spans="1:3" x14ac:dyDescent="0.3">
      <c r="A7" s="8" t="s">
        <v>2304</v>
      </c>
      <c r="B7" s="8" t="s">
        <v>9251</v>
      </c>
      <c r="C7" s="8">
        <v>6</v>
      </c>
    </row>
    <row r="8" spans="1:3" x14ac:dyDescent="0.3">
      <c r="A8" s="8" t="s">
        <v>1696</v>
      </c>
      <c r="B8" s="8" t="s">
        <v>9252</v>
      </c>
      <c r="C8" s="8">
        <v>7</v>
      </c>
    </row>
    <row r="9" spans="1:3" x14ac:dyDescent="0.3">
      <c r="A9" s="8" t="s">
        <v>871</v>
      </c>
      <c r="B9" s="8" t="s">
        <v>9253</v>
      </c>
      <c r="C9" s="8">
        <v>8</v>
      </c>
    </row>
    <row r="10" spans="1:3" x14ac:dyDescent="0.3">
      <c r="A10" s="8" t="s">
        <v>24</v>
      </c>
      <c r="B10" s="8" t="s">
        <v>9726</v>
      </c>
    </row>
    <row r="11" spans="1:3" x14ac:dyDescent="0.3">
      <c r="A11" s="8" t="s">
        <v>18</v>
      </c>
      <c r="B11" s="8" t="s">
        <v>9727</v>
      </c>
    </row>
    <row r="12" spans="1:3" x14ac:dyDescent="0.3">
      <c r="A12" s="8" t="s">
        <v>1935</v>
      </c>
      <c r="B12" s="8" t="s">
        <v>9728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7695</v>
      </c>
      <c r="C1" s="13" t="s">
        <v>7696</v>
      </c>
      <c r="D1" s="13" t="s">
        <v>7</v>
      </c>
      <c r="E1" s="13" t="s">
        <v>9254</v>
      </c>
      <c r="F1" s="13" t="s">
        <v>9255</v>
      </c>
      <c r="G1" s="13" t="s">
        <v>9256</v>
      </c>
    </row>
    <row r="2" spans="1:7" x14ac:dyDescent="0.3">
      <c r="A2" s="15" t="s">
        <v>3413</v>
      </c>
      <c r="B2" s="15" t="s">
        <v>7711</v>
      </c>
      <c r="C2" s="15" t="s">
        <v>7712</v>
      </c>
      <c r="D2" s="15">
        <v>118</v>
      </c>
      <c r="E2" s="15" t="s">
        <v>9257</v>
      </c>
      <c r="F2" s="15"/>
      <c r="G2" s="15" t="s">
        <v>9258</v>
      </c>
    </row>
    <row r="3" spans="1:7" x14ac:dyDescent="0.3">
      <c r="A3" s="15" t="s">
        <v>3413</v>
      </c>
      <c r="B3" s="15" t="s">
        <v>7375</v>
      </c>
      <c r="C3" s="15" t="s">
        <v>7722</v>
      </c>
      <c r="D3" s="15">
        <v>66</v>
      </c>
      <c r="E3" s="15" t="s">
        <v>9259</v>
      </c>
      <c r="F3" s="15"/>
      <c r="G3" s="15" t="s">
        <v>9260</v>
      </c>
    </row>
    <row r="4" spans="1:7" x14ac:dyDescent="0.3">
      <c r="A4" s="15" t="s">
        <v>3413</v>
      </c>
      <c r="B4" s="15" t="s">
        <v>7723</v>
      </c>
      <c r="C4" s="15" t="s">
        <v>7724</v>
      </c>
      <c r="D4" s="15">
        <v>64</v>
      </c>
      <c r="E4" s="15" t="s">
        <v>9261</v>
      </c>
      <c r="F4" s="15"/>
      <c r="G4" s="15" t="s">
        <v>9262</v>
      </c>
    </row>
    <row r="5" spans="1:7" x14ac:dyDescent="0.3">
      <c r="A5" s="15" t="s">
        <v>3413</v>
      </c>
      <c r="B5" s="15" t="s">
        <v>7718</v>
      </c>
      <c r="C5" s="15" t="s">
        <v>7719</v>
      </c>
      <c r="D5" s="15">
        <v>61</v>
      </c>
      <c r="E5" s="15" t="s">
        <v>9263</v>
      </c>
      <c r="F5" s="15"/>
      <c r="G5" s="15" t="s">
        <v>9264</v>
      </c>
    </row>
    <row r="6" spans="1:7" x14ac:dyDescent="0.3">
      <c r="A6" s="15" t="s">
        <v>3413</v>
      </c>
      <c r="B6" s="15" t="s">
        <v>7720</v>
      </c>
      <c r="C6" s="15" t="s">
        <v>7721</v>
      </c>
      <c r="D6" s="15">
        <v>55</v>
      </c>
      <c r="E6" s="15" t="s">
        <v>9265</v>
      </c>
      <c r="F6" s="15"/>
      <c r="G6" s="15" t="s">
        <v>9266</v>
      </c>
    </row>
    <row r="7" spans="1:7" x14ac:dyDescent="0.3">
      <c r="A7" s="15" t="s">
        <v>3413</v>
      </c>
      <c r="B7" s="15" t="s">
        <v>7713</v>
      </c>
      <c r="C7" s="15" t="s">
        <v>7714</v>
      </c>
      <c r="D7" s="15">
        <v>52</v>
      </c>
      <c r="E7" s="15" t="s">
        <v>9267</v>
      </c>
      <c r="F7" s="15"/>
      <c r="G7" s="15" t="s">
        <v>10040</v>
      </c>
    </row>
    <row r="8" spans="1:7" x14ac:dyDescent="0.3">
      <c r="A8" s="15" t="s">
        <v>3413</v>
      </c>
      <c r="B8" s="15" t="s">
        <v>7752</v>
      </c>
      <c r="C8" s="15" t="s">
        <v>7753</v>
      </c>
      <c r="D8" s="15">
        <v>47</v>
      </c>
      <c r="E8" s="15" t="s">
        <v>9268</v>
      </c>
      <c r="F8" s="15"/>
      <c r="G8" s="15" t="s">
        <v>9269</v>
      </c>
    </row>
    <row r="9" spans="1:7" x14ac:dyDescent="0.3">
      <c r="A9" s="15" t="s">
        <v>3413</v>
      </c>
      <c r="B9" s="15" t="s">
        <v>7716</v>
      </c>
      <c r="C9" s="15" t="s">
        <v>7717</v>
      </c>
      <c r="D9" s="15">
        <v>41</v>
      </c>
      <c r="E9" s="15" t="s">
        <v>9270</v>
      </c>
      <c r="F9" s="15"/>
      <c r="G9" s="15" t="s">
        <v>9271</v>
      </c>
    </row>
    <row r="10" spans="1:7" x14ac:dyDescent="0.3">
      <c r="A10" s="15" t="s">
        <v>3413</v>
      </c>
      <c r="B10" s="15" t="s">
        <v>7725</v>
      </c>
      <c r="C10" s="15" t="s">
        <v>7726</v>
      </c>
      <c r="D10" s="15">
        <v>38</v>
      </c>
      <c r="E10" s="15" t="s">
        <v>9272</v>
      </c>
      <c r="F10" s="15"/>
      <c r="G10" s="15" t="s">
        <v>9273</v>
      </c>
    </row>
    <row r="11" spans="1:7" x14ac:dyDescent="0.3">
      <c r="A11" s="15" t="s">
        <v>3413</v>
      </c>
      <c r="B11" s="15" t="s">
        <v>7757</v>
      </c>
      <c r="C11" s="15" t="s">
        <v>7758</v>
      </c>
      <c r="D11" s="15">
        <v>37</v>
      </c>
      <c r="E11" s="15" t="s">
        <v>9274</v>
      </c>
      <c r="F11" s="15"/>
      <c r="G11" s="15" t="s">
        <v>9275</v>
      </c>
    </row>
    <row r="12" spans="1:7" x14ac:dyDescent="0.3">
      <c r="A12" s="15" t="s">
        <v>3413</v>
      </c>
      <c r="B12" s="15" t="s">
        <v>7027</v>
      </c>
      <c r="C12" s="15" t="s">
        <v>7754</v>
      </c>
      <c r="D12" s="15">
        <v>27</v>
      </c>
      <c r="E12" s="15" t="s">
        <v>9276</v>
      </c>
      <c r="F12" s="15"/>
      <c r="G12" s="15" t="s">
        <v>9277</v>
      </c>
    </row>
    <row r="13" spans="1:7" x14ac:dyDescent="0.3">
      <c r="A13" s="15" t="s">
        <v>3413</v>
      </c>
      <c r="B13" s="15" t="s">
        <v>7727</v>
      </c>
      <c r="C13" s="15" t="s">
        <v>7728</v>
      </c>
      <c r="D13" s="15">
        <v>23</v>
      </c>
      <c r="E13" s="15" t="s">
        <v>9278</v>
      </c>
      <c r="F13" s="15"/>
      <c r="G13" s="15" t="s">
        <v>9279</v>
      </c>
    </row>
    <row r="14" spans="1:7" x14ac:dyDescent="0.3">
      <c r="A14" s="15" t="s">
        <v>3413</v>
      </c>
      <c r="B14" s="15" t="s">
        <v>6959</v>
      </c>
      <c r="C14" s="15" t="s">
        <v>7715</v>
      </c>
      <c r="D14" s="15">
        <v>22</v>
      </c>
      <c r="E14" s="15" t="s">
        <v>9280</v>
      </c>
      <c r="F14" s="15"/>
      <c r="G14" s="15" t="s">
        <v>9281</v>
      </c>
    </row>
    <row r="15" spans="1:7" x14ac:dyDescent="0.3">
      <c r="A15" s="15" t="s">
        <v>3413</v>
      </c>
      <c r="B15" s="15" t="s">
        <v>7729</v>
      </c>
      <c r="C15" s="15" t="s">
        <v>7730</v>
      </c>
      <c r="D15" s="15">
        <v>15</v>
      </c>
      <c r="E15" s="15" t="s">
        <v>9282</v>
      </c>
      <c r="F15" s="15"/>
      <c r="G15" s="15" t="s">
        <v>9283</v>
      </c>
    </row>
    <row r="16" spans="1:7" x14ac:dyDescent="0.3">
      <c r="A16" s="15" t="s">
        <v>3413</v>
      </c>
      <c r="B16" s="15" t="s">
        <v>3435</v>
      </c>
      <c r="C16" s="15" t="s">
        <v>7759</v>
      </c>
      <c r="D16" s="15">
        <v>8</v>
      </c>
      <c r="E16" s="15" t="s">
        <v>9284</v>
      </c>
      <c r="F16" s="15"/>
      <c r="G16" s="15" t="s">
        <v>9285</v>
      </c>
    </row>
    <row r="17" spans="1:7" x14ac:dyDescent="0.3">
      <c r="A17" s="15" t="s">
        <v>3413</v>
      </c>
      <c r="B17" s="15" t="s">
        <v>7755</v>
      </c>
      <c r="C17" s="15" t="s">
        <v>7756</v>
      </c>
      <c r="D17" s="15">
        <v>3</v>
      </c>
      <c r="E17" s="15" t="s">
        <v>9286</v>
      </c>
      <c r="F17" s="15"/>
      <c r="G17" s="15" t="s">
        <v>9287</v>
      </c>
    </row>
    <row r="18" spans="1:7" x14ac:dyDescent="0.3">
      <c r="A18" s="15" t="s">
        <v>1434</v>
      </c>
      <c r="B18" s="15" t="s">
        <v>702</v>
      </c>
      <c r="C18" s="15" t="s">
        <v>7699</v>
      </c>
      <c r="D18" s="15">
        <v>175</v>
      </c>
      <c r="E18" s="15" t="s">
        <v>9288</v>
      </c>
      <c r="F18" s="14" t="s">
        <v>9289</v>
      </c>
      <c r="G18" s="15" t="s">
        <v>10041</v>
      </c>
    </row>
    <row r="19" spans="1:7" x14ac:dyDescent="0.3">
      <c r="A19" s="15" t="s">
        <v>1434</v>
      </c>
      <c r="B19" s="15" t="s">
        <v>3780</v>
      </c>
      <c r="C19" s="15" t="s">
        <v>7704</v>
      </c>
      <c r="D19" s="15">
        <v>174</v>
      </c>
      <c r="E19" s="15" t="s">
        <v>9290</v>
      </c>
      <c r="F19" s="14" t="s">
        <v>9289</v>
      </c>
      <c r="G19" s="15" t="s">
        <v>9291</v>
      </c>
    </row>
    <row r="20" spans="1:7" x14ac:dyDescent="0.3">
      <c r="A20" s="15" t="s">
        <v>1434</v>
      </c>
      <c r="B20" s="15" t="s">
        <v>34</v>
      </c>
      <c r="C20" s="15" t="s">
        <v>7703</v>
      </c>
      <c r="D20" s="15">
        <v>79</v>
      </c>
      <c r="E20" s="15" t="s">
        <v>9292</v>
      </c>
      <c r="F20" s="14" t="s">
        <v>9289</v>
      </c>
      <c r="G20" s="15" t="s">
        <v>10094</v>
      </c>
    </row>
    <row r="21" spans="1:7" x14ac:dyDescent="0.3">
      <c r="A21" s="15" t="s">
        <v>1434</v>
      </c>
      <c r="B21" s="15" t="s">
        <v>82</v>
      </c>
      <c r="C21" s="15" t="s">
        <v>7705</v>
      </c>
      <c r="D21" s="15">
        <v>77</v>
      </c>
      <c r="E21" s="15" t="s">
        <v>9293</v>
      </c>
      <c r="F21" s="14" t="s">
        <v>9289</v>
      </c>
      <c r="G21" s="15" t="s">
        <v>9294</v>
      </c>
    </row>
    <row r="22" spans="1:7" x14ac:dyDescent="0.3">
      <c r="A22" s="15" t="s">
        <v>1434</v>
      </c>
      <c r="B22" s="15" t="s">
        <v>7709</v>
      </c>
      <c r="C22" s="15" t="s">
        <v>7710</v>
      </c>
      <c r="D22" s="15">
        <v>64</v>
      </c>
      <c r="E22" s="15" t="s">
        <v>9261</v>
      </c>
      <c r="F22" s="14" t="s">
        <v>9289</v>
      </c>
      <c r="G22" s="15" t="s">
        <v>9262</v>
      </c>
    </row>
    <row r="23" spans="1:7" x14ac:dyDescent="0.3">
      <c r="A23" s="15" t="s">
        <v>1434</v>
      </c>
      <c r="B23" s="15" t="s">
        <v>73</v>
      </c>
      <c r="C23" s="15" t="s">
        <v>7707</v>
      </c>
      <c r="D23" s="15">
        <v>60</v>
      </c>
      <c r="E23" s="15" t="s">
        <v>9295</v>
      </c>
      <c r="F23" s="14" t="s">
        <v>9289</v>
      </c>
      <c r="G23" s="15" t="s">
        <v>9296</v>
      </c>
    </row>
    <row r="24" spans="1:7" x14ac:dyDescent="0.3">
      <c r="A24" s="15" t="s">
        <v>1434</v>
      </c>
      <c r="B24" s="15" t="s">
        <v>2846</v>
      </c>
      <c r="C24" s="15" t="s">
        <v>7706</v>
      </c>
      <c r="D24" s="15">
        <v>50</v>
      </c>
      <c r="E24" s="15" t="s">
        <v>9297</v>
      </c>
      <c r="F24" s="14" t="s">
        <v>9289</v>
      </c>
      <c r="G24" s="15" t="s">
        <v>9298</v>
      </c>
    </row>
    <row r="25" spans="1:7" x14ac:dyDescent="0.3">
      <c r="A25" s="15" t="s">
        <v>1434</v>
      </c>
      <c r="B25" s="15" t="s">
        <v>2762</v>
      </c>
      <c r="C25" s="15" t="s">
        <v>7700</v>
      </c>
      <c r="D25" s="15">
        <v>27</v>
      </c>
      <c r="E25" s="15" t="s">
        <v>9299</v>
      </c>
      <c r="F25" s="15"/>
      <c r="G25" s="15" t="s">
        <v>9300</v>
      </c>
    </row>
    <row r="26" spans="1:7" x14ac:dyDescent="0.3">
      <c r="A26" s="15" t="s">
        <v>1434</v>
      </c>
      <c r="B26" s="15" t="s">
        <v>5057</v>
      </c>
      <c r="C26" s="15" t="s">
        <v>7708</v>
      </c>
      <c r="D26" s="15">
        <v>18</v>
      </c>
      <c r="E26" s="15" t="s">
        <v>9301</v>
      </c>
      <c r="F26" s="14" t="s">
        <v>9289</v>
      </c>
      <c r="G26" s="15" t="s">
        <v>9302</v>
      </c>
    </row>
    <row r="27" spans="1:7" x14ac:dyDescent="0.3">
      <c r="A27" s="15" t="s">
        <v>1434</v>
      </c>
      <c r="B27" s="15" t="s">
        <v>3176</v>
      </c>
      <c r="C27" s="15" t="s">
        <v>7701</v>
      </c>
      <c r="D27" s="15">
        <v>13</v>
      </c>
      <c r="E27" s="15" t="s">
        <v>9303</v>
      </c>
      <c r="F27" s="14" t="s">
        <v>9289</v>
      </c>
      <c r="G27" s="15" t="s">
        <v>9304</v>
      </c>
    </row>
    <row r="28" spans="1:7" x14ac:dyDescent="0.3">
      <c r="A28" s="15" t="s">
        <v>1434</v>
      </c>
      <c r="B28" s="15" t="s">
        <v>817</v>
      </c>
      <c r="C28" s="15" t="s">
        <v>7702</v>
      </c>
      <c r="D28" s="15">
        <v>10</v>
      </c>
      <c r="E28" s="15" t="s">
        <v>9305</v>
      </c>
      <c r="F28" s="14" t="s">
        <v>9289</v>
      </c>
      <c r="G28" s="15" t="s">
        <v>9306</v>
      </c>
    </row>
    <row r="29" spans="1:7" x14ac:dyDescent="0.3">
      <c r="A29" s="15" t="s">
        <v>7798</v>
      </c>
      <c r="B29" s="15" t="s">
        <v>7799</v>
      </c>
      <c r="C29" s="15" t="s">
        <v>7800</v>
      </c>
      <c r="D29" s="15">
        <v>49</v>
      </c>
      <c r="E29" s="15" t="s">
        <v>9307</v>
      </c>
      <c r="F29" s="15"/>
      <c r="G29" s="15" t="s">
        <v>9308</v>
      </c>
    </row>
    <row r="30" spans="1:7" x14ac:dyDescent="0.3">
      <c r="A30" s="15" t="s">
        <v>7798</v>
      </c>
      <c r="B30" s="15" t="s">
        <v>7805</v>
      </c>
      <c r="C30" s="15" t="s">
        <v>7806</v>
      </c>
      <c r="D30" s="15">
        <v>17</v>
      </c>
      <c r="E30" s="15" t="s">
        <v>9309</v>
      </c>
      <c r="F30" s="15"/>
      <c r="G30" s="15" t="s">
        <v>9310</v>
      </c>
    </row>
    <row r="31" spans="1:7" x14ac:dyDescent="0.3">
      <c r="A31" s="15" t="s">
        <v>7798</v>
      </c>
      <c r="B31" s="15" t="s">
        <v>4365</v>
      </c>
      <c r="C31" s="15" t="s">
        <v>4366</v>
      </c>
      <c r="D31" s="15">
        <v>8</v>
      </c>
      <c r="E31" s="15" t="s">
        <v>9311</v>
      </c>
      <c r="F31" s="15"/>
      <c r="G31" s="15" t="s">
        <v>9312</v>
      </c>
    </row>
    <row r="32" spans="1:7" x14ac:dyDescent="0.3">
      <c r="A32" s="15" t="s">
        <v>7798</v>
      </c>
      <c r="B32" s="15" t="s">
        <v>6023</v>
      </c>
      <c r="C32" s="15" t="s">
        <v>7804</v>
      </c>
      <c r="D32" s="15">
        <v>6</v>
      </c>
      <c r="E32" s="15" t="s">
        <v>9313</v>
      </c>
      <c r="F32" s="15"/>
      <c r="G32" s="15" t="s">
        <v>9314</v>
      </c>
    </row>
    <row r="33" spans="1:7" x14ac:dyDescent="0.3">
      <c r="A33" s="15" t="s">
        <v>7798</v>
      </c>
      <c r="B33" s="15" t="s">
        <v>4956</v>
      </c>
      <c r="C33" s="15" t="s">
        <v>4957</v>
      </c>
      <c r="D33" s="15">
        <v>5</v>
      </c>
      <c r="E33" s="15" t="s">
        <v>9315</v>
      </c>
      <c r="F33" s="15"/>
      <c r="G33" s="15" t="s">
        <v>9316</v>
      </c>
    </row>
    <row r="34" spans="1:7" x14ac:dyDescent="0.3">
      <c r="A34" s="15" t="s">
        <v>7798</v>
      </c>
      <c r="B34" s="15" t="s">
        <v>7764</v>
      </c>
      <c r="C34" s="15" t="s">
        <v>7801</v>
      </c>
      <c r="D34" s="15">
        <v>2</v>
      </c>
      <c r="E34" s="15" t="s">
        <v>9317</v>
      </c>
      <c r="F34" s="15"/>
      <c r="G34" s="15" t="s">
        <v>9318</v>
      </c>
    </row>
    <row r="35" spans="1:7" x14ac:dyDescent="0.3">
      <c r="A35" s="15" t="s">
        <v>7798</v>
      </c>
      <c r="B35" s="15" t="s">
        <v>7802</v>
      </c>
      <c r="C35" s="15" t="s">
        <v>7803</v>
      </c>
      <c r="D35" s="15">
        <v>1</v>
      </c>
      <c r="E35" s="15" t="s">
        <v>9319</v>
      </c>
      <c r="F35" s="15"/>
      <c r="G35" s="15" t="s">
        <v>4091</v>
      </c>
    </row>
    <row r="36" spans="1:7" x14ac:dyDescent="0.3">
      <c r="A36" s="15" t="s">
        <v>7798</v>
      </c>
      <c r="B36" s="15" t="s">
        <v>3020</v>
      </c>
      <c r="C36" s="15" t="s">
        <v>3021</v>
      </c>
      <c r="D36" s="15">
        <v>1</v>
      </c>
      <c r="E36" s="15" t="s">
        <v>9320</v>
      </c>
      <c r="F36" s="15"/>
      <c r="G36" s="15" t="s">
        <v>7416</v>
      </c>
    </row>
    <row r="37" spans="1:7" x14ac:dyDescent="0.3">
      <c r="A37" s="15" t="s">
        <v>7791</v>
      </c>
      <c r="B37" s="15" t="s">
        <v>46</v>
      </c>
      <c r="C37" s="15" t="s">
        <v>7750</v>
      </c>
      <c r="D37" s="15">
        <v>36</v>
      </c>
      <c r="E37" s="15" t="s">
        <v>9321</v>
      </c>
      <c r="F37" s="15"/>
      <c r="G37" s="15" t="s">
        <v>9322</v>
      </c>
    </row>
    <row r="38" spans="1:7" x14ac:dyDescent="0.3">
      <c r="A38" s="15" t="s">
        <v>7791</v>
      </c>
      <c r="B38" s="15" t="s">
        <v>2846</v>
      </c>
      <c r="C38" s="15" t="s">
        <v>7792</v>
      </c>
      <c r="D38" s="15">
        <v>21</v>
      </c>
      <c r="E38" s="15" t="s">
        <v>9323</v>
      </c>
      <c r="F38" s="15"/>
      <c r="G38" s="15" t="s">
        <v>9324</v>
      </c>
    </row>
    <row r="39" spans="1:7" x14ac:dyDescent="0.3">
      <c r="A39" s="15" t="s">
        <v>7791</v>
      </c>
      <c r="B39" s="15" t="s">
        <v>2811</v>
      </c>
      <c r="C39" s="15" t="s">
        <v>7794</v>
      </c>
      <c r="D39" s="15">
        <v>4</v>
      </c>
      <c r="E39" s="15" t="s">
        <v>9325</v>
      </c>
      <c r="F39" s="15"/>
      <c r="G39" s="15" t="s">
        <v>9326</v>
      </c>
    </row>
    <row r="40" spans="1:7" x14ac:dyDescent="0.3">
      <c r="A40" s="15" t="s">
        <v>7791</v>
      </c>
      <c r="B40" s="15" t="s">
        <v>7731</v>
      </c>
      <c r="C40" s="15" t="s">
        <v>7796</v>
      </c>
      <c r="D40" s="15">
        <v>4</v>
      </c>
      <c r="E40" s="15" t="s">
        <v>9327</v>
      </c>
      <c r="F40" s="14" t="s">
        <v>9289</v>
      </c>
      <c r="G40" s="15" t="s">
        <v>9328</v>
      </c>
    </row>
    <row r="41" spans="1:7" x14ac:dyDescent="0.3">
      <c r="A41" s="15" t="s">
        <v>7791</v>
      </c>
      <c r="B41" s="15" t="s">
        <v>34</v>
      </c>
      <c r="C41" s="15" t="s">
        <v>7793</v>
      </c>
      <c r="D41" s="15">
        <v>2</v>
      </c>
      <c r="E41" s="15" t="s">
        <v>9329</v>
      </c>
      <c r="F41" s="15"/>
      <c r="G41" s="15" t="s">
        <v>9330</v>
      </c>
    </row>
    <row r="42" spans="1:7" x14ac:dyDescent="0.3">
      <c r="A42" s="15" t="s">
        <v>7791</v>
      </c>
      <c r="B42" s="15" t="s">
        <v>1169</v>
      </c>
      <c r="C42" s="15" t="s">
        <v>7797</v>
      </c>
      <c r="D42" s="15">
        <v>1</v>
      </c>
      <c r="E42" s="15" t="s">
        <v>9319</v>
      </c>
      <c r="F42" s="15"/>
      <c r="G42" s="15" t="s">
        <v>2955</v>
      </c>
    </row>
    <row r="43" spans="1:7" x14ac:dyDescent="0.3">
      <c r="A43" s="15" t="s">
        <v>7791</v>
      </c>
      <c r="B43" s="15" t="s">
        <v>7733</v>
      </c>
      <c r="C43" s="15"/>
      <c r="D43" s="15">
        <v>1</v>
      </c>
      <c r="E43" s="15" t="s">
        <v>9319</v>
      </c>
      <c r="F43" s="15"/>
      <c r="G43" s="15" t="s">
        <v>2955</v>
      </c>
    </row>
    <row r="44" spans="1:7" x14ac:dyDescent="0.3">
      <c r="A44" s="15" t="s">
        <v>458</v>
      </c>
      <c r="B44" s="15" t="s">
        <v>29</v>
      </c>
      <c r="C44" s="15" t="s">
        <v>7781</v>
      </c>
      <c r="D44" s="15">
        <v>38</v>
      </c>
      <c r="E44" s="15" t="s">
        <v>9331</v>
      </c>
      <c r="F44" s="15"/>
      <c r="G44" s="15" t="s">
        <v>9332</v>
      </c>
    </row>
    <row r="45" spans="1:7" x14ac:dyDescent="0.3">
      <c r="A45" s="15" t="s">
        <v>458</v>
      </c>
      <c r="B45" s="15" t="s">
        <v>7782</v>
      </c>
      <c r="C45" s="15" t="s">
        <v>7783</v>
      </c>
      <c r="D45" s="15">
        <v>14</v>
      </c>
      <c r="E45" s="15" t="s">
        <v>9333</v>
      </c>
      <c r="F45" s="15"/>
      <c r="G45" s="15" t="s">
        <v>9334</v>
      </c>
    </row>
    <row r="46" spans="1:7" x14ac:dyDescent="0.3">
      <c r="A46" s="15" t="s">
        <v>458</v>
      </c>
      <c r="B46" s="15" t="s">
        <v>7785</v>
      </c>
      <c r="C46" s="15" t="s">
        <v>7786</v>
      </c>
      <c r="D46" s="15">
        <v>6</v>
      </c>
      <c r="E46" s="15" t="s">
        <v>9335</v>
      </c>
      <c r="F46" s="15"/>
      <c r="G46" s="15" t="s">
        <v>9336</v>
      </c>
    </row>
    <row r="47" spans="1:7" x14ac:dyDescent="0.3">
      <c r="A47" s="15" t="s">
        <v>458</v>
      </c>
      <c r="B47" s="15" t="s">
        <v>5057</v>
      </c>
      <c r="C47" s="15" t="s">
        <v>7784</v>
      </c>
      <c r="D47" s="15">
        <v>1</v>
      </c>
      <c r="E47" s="15" t="s">
        <v>9337</v>
      </c>
      <c r="F47" s="15"/>
      <c r="G47" s="15" t="s">
        <v>6124</v>
      </c>
    </row>
    <row r="48" spans="1:7" x14ac:dyDescent="0.3">
      <c r="A48" s="15" t="s">
        <v>4952</v>
      </c>
      <c r="B48" s="15" t="s">
        <v>7761</v>
      </c>
      <c r="C48" s="15" t="s">
        <v>7762</v>
      </c>
      <c r="D48" s="15">
        <v>18</v>
      </c>
      <c r="E48" s="15" t="s">
        <v>9338</v>
      </c>
      <c r="F48" s="15"/>
      <c r="G48" s="15" t="s">
        <v>9339</v>
      </c>
    </row>
    <row r="49" spans="1:7" x14ac:dyDescent="0.3">
      <c r="A49" s="15" t="s">
        <v>4952</v>
      </c>
      <c r="B49" s="15" t="s">
        <v>7770</v>
      </c>
      <c r="C49" s="15" t="s">
        <v>7771</v>
      </c>
      <c r="D49" s="15">
        <v>18</v>
      </c>
      <c r="E49" s="15" t="s">
        <v>9338</v>
      </c>
      <c r="F49" s="15"/>
      <c r="G49" s="15" t="s">
        <v>9340</v>
      </c>
    </row>
    <row r="50" spans="1:7" x14ac:dyDescent="0.3">
      <c r="A50" s="15" t="s">
        <v>4952</v>
      </c>
      <c r="B50" s="15" t="s">
        <v>2321</v>
      </c>
      <c r="C50" s="15" t="s">
        <v>7760</v>
      </c>
      <c r="D50" s="15">
        <v>14</v>
      </c>
      <c r="E50" s="15" t="s">
        <v>9341</v>
      </c>
      <c r="F50" s="15"/>
      <c r="G50" s="15" t="s">
        <v>9342</v>
      </c>
    </row>
    <row r="51" spans="1:7" x14ac:dyDescent="0.3">
      <c r="A51" s="15" t="s">
        <v>4952</v>
      </c>
      <c r="B51" s="15" t="s">
        <v>7776</v>
      </c>
      <c r="C51" s="15" t="s">
        <v>7777</v>
      </c>
      <c r="D51" s="15">
        <v>14</v>
      </c>
      <c r="E51" s="15" t="s">
        <v>9341</v>
      </c>
      <c r="F51" s="15"/>
      <c r="G51" s="15" t="s">
        <v>9343</v>
      </c>
    </row>
    <row r="52" spans="1:7" x14ac:dyDescent="0.3">
      <c r="A52" s="15" t="s">
        <v>4952</v>
      </c>
      <c r="B52" s="15" t="s">
        <v>7772</v>
      </c>
      <c r="C52" s="15" t="s">
        <v>7773</v>
      </c>
      <c r="D52" s="15">
        <v>11</v>
      </c>
      <c r="E52" s="15" t="s">
        <v>9344</v>
      </c>
      <c r="F52" s="15"/>
      <c r="G52" s="15" t="s">
        <v>9345</v>
      </c>
    </row>
    <row r="53" spans="1:7" x14ac:dyDescent="0.3">
      <c r="A53" s="15" t="s">
        <v>4952</v>
      </c>
      <c r="B53" s="15" t="s">
        <v>4445</v>
      </c>
      <c r="C53" s="15" t="s">
        <v>7763</v>
      </c>
      <c r="D53" s="15">
        <v>11</v>
      </c>
      <c r="E53" s="15" t="s">
        <v>9344</v>
      </c>
      <c r="F53" s="15"/>
      <c r="G53" s="15" t="s">
        <v>9346</v>
      </c>
    </row>
    <row r="54" spans="1:7" x14ac:dyDescent="0.3">
      <c r="A54" s="15" t="s">
        <v>4952</v>
      </c>
      <c r="B54" s="15" t="s">
        <v>7359</v>
      </c>
      <c r="C54" s="15" t="s">
        <v>7766</v>
      </c>
      <c r="D54" s="15">
        <v>9</v>
      </c>
      <c r="E54" s="15" t="s">
        <v>9347</v>
      </c>
      <c r="F54" s="15"/>
      <c r="G54" s="15" t="s">
        <v>9348</v>
      </c>
    </row>
    <row r="55" spans="1:7" x14ac:dyDescent="0.3">
      <c r="A55" s="15" t="s">
        <v>4952</v>
      </c>
      <c r="B55" s="15" t="s">
        <v>5843</v>
      </c>
      <c r="C55" s="15" t="s">
        <v>7767</v>
      </c>
      <c r="D55" s="15">
        <v>6</v>
      </c>
      <c r="E55" s="15" t="s">
        <v>9349</v>
      </c>
      <c r="F55" s="15"/>
      <c r="G55" s="15" t="s">
        <v>9350</v>
      </c>
    </row>
    <row r="56" spans="1:7" x14ac:dyDescent="0.3">
      <c r="A56" s="15" t="s">
        <v>4952</v>
      </c>
      <c r="B56" s="15" t="s">
        <v>7779</v>
      </c>
      <c r="C56" s="15" t="s">
        <v>7780</v>
      </c>
      <c r="D56" s="15">
        <v>6</v>
      </c>
      <c r="E56" s="15" t="s">
        <v>9349</v>
      </c>
      <c r="F56" s="15"/>
      <c r="G56" s="15" t="s">
        <v>9351</v>
      </c>
    </row>
    <row r="57" spans="1:7" x14ac:dyDescent="0.3">
      <c r="A57" s="15" t="s">
        <v>4952</v>
      </c>
      <c r="B57" s="15" t="s">
        <v>6198</v>
      </c>
      <c r="C57" s="15" t="s">
        <v>6199</v>
      </c>
      <c r="D57" s="15">
        <v>6</v>
      </c>
      <c r="E57" s="15" t="s">
        <v>9349</v>
      </c>
      <c r="F57" s="15"/>
      <c r="G57" s="15" t="s">
        <v>9352</v>
      </c>
    </row>
    <row r="58" spans="1:7" x14ac:dyDescent="0.3">
      <c r="A58" s="15" t="s">
        <v>4952</v>
      </c>
      <c r="B58" s="15" t="s">
        <v>7774</v>
      </c>
      <c r="C58" s="15" t="s">
        <v>7775</v>
      </c>
      <c r="D58" s="15">
        <v>5</v>
      </c>
      <c r="E58" s="15" t="s">
        <v>9353</v>
      </c>
      <c r="F58" s="15"/>
      <c r="G58" s="15" t="s">
        <v>9354</v>
      </c>
    </row>
    <row r="59" spans="1:7" x14ac:dyDescent="0.3">
      <c r="A59" s="15" t="s">
        <v>4952</v>
      </c>
      <c r="B59" s="15" t="s">
        <v>7764</v>
      </c>
      <c r="C59" s="15" t="s">
        <v>7765</v>
      </c>
      <c r="D59" s="15">
        <v>3</v>
      </c>
      <c r="E59" s="15" t="s">
        <v>9355</v>
      </c>
      <c r="F59" s="15"/>
      <c r="G59" s="15" t="s">
        <v>9356</v>
      </c>
    </row>
    <row r="60" spans="1:7" x14ac:dyDescent="0.3">
      <c r="A60" s="15" t="s">
        <v>4952</v>
      </c>
      <c r="B60" s="15" t="s">
        <v>7768</v>
      </c>
      <c r="C60" s="15" t="s">
        <v>7769</v>
      </c>
      <c r="D60" s="15">
        <v>3</v>
      </c>
      <c r="E60" s="15" t="s">
        <v>9355</v>
      </c>
      <c r="F60" s="15"/>
      <c r="G60" s="15" t="s">
        <v>9357</v>
      </c>
    </row>
    <row r="61" spans="1:7" x14ac:dyDescent="0.3">
      <c r="A61" s="15" t="s">
        <v>4952</v>
      </c>
      <c r="B61" s="15" t="s">
        <v>3020</v>
      </c>
      <c r="C61" s="15" t="s">
        <v>7778</v>
      </c>
      <c r="D61" s="15">
        <v>3</v>
      </c>
      <c r="E61" s="15" t="s">
        <v>9355</v>
      </c>
      <c r="F61" s="15"/>
      <c r="G61" s="15" t="s">
        <v>9358</v>
      </c>
    </row>
    <row r="62" spans="1:7" x14ac:dyDescent="0.3">
      <c r="A62" s="15" t="s">
        <v>7787</v>
      </c>
      <c r="B62" s="15" t="s">
        <v>7790</v>
      </c>
      <c r="C62" s="15" t="s">
        <v>3430</v>
      </c>
      <c r="D62" s="15">
        <v>13</v>
      </c>
      <c r="E62" s="15" t="s">
        <v>9359</v>
      </c>
      <c r="F62" s="15"/>
      <c r="G62" s="15" t="s">
        <v>9360</v>
      </c>
    </row>
    <row r="63" spans="1:7" x14ac:dyDescent="0.3">
      <c r="A63" s="15" t="s">
        <v>7787</v>
      </c>
      <c r="B63" s="15" t="s">
        <v>7788</v>
      </c>
      <c r="C63" s="15" t="s">
        <v>7789</v>
      </c>
      <c r="D63" s="15">
        <v>12</v>
      </c>
      <c r="E63" s="15" t="s">
        <v>9361</v>
      </c>
      <c r="F63" s="15"/>
      <c r="G63" s="15" t="s">
        <v>9362</v>
      </c>
    </row>
    <row r="64" spans="1:7" x14ac:dyDescent="0.3">
      <c r="A64" s="15" t="s">
        <v>5091</v>
      </c>
      <c r="B64" s="15" t="s">
        <v>7740</v>
      </c>
      <c r="C64" s="15" t="s">
        <v>7741</v>
      </c>
      <c r="D64" s="15">
        <v>91</v>
      </c>
      <c r="E64" s="15" t="s">
        <v>9363</v>
      </c>
      <c r="F64" s="15"/>
      <c r="G64" s="15" t="s">
        <v>9364</v>
      </c>
    </row>
    <row r="65" spans="1:7" x14ac:dyDescent="0.3">
      <c r="A65" s="15" t="s">
        <v>5091</v>
      </c>
      <c r="B65" s="15" t="s">
        <v>1169</v>
      </c>
      <c r="C65" s="15" t="s">
        <v>7745</v>
      </c>
      <c r="D65" s="15">
        <v>42</v>
      </c>
      <c r="E65" s="15" t="s">
        <v>9365</v>
      </c>
      <c r="F65" s="15"/>
      <c r="G65" s="15" t="s">
        <v>9366</v>
      </c>
    </row>
    <row r="66" spans="1:7" x14ac:dyDescent="0.3">
      <c r="A66" s="15" t="s">
        <v>5091</v>
      </c>
      <c r="B66" s="15" t="s">
        <v>4645</v>
      </c>
      <c r="C66" s="15" t="s">
        <v>7748</v>
      </c>
      <c r="D66" s="15">
        <v>40</v>
      </c>
      <c r="E66" s="15" t="s">
        <v>9367</v>
      </c>
      <c r="F66" s="15"/>
      <c r="G66" s="15" t="s">
        <v>9368</v>
      </c>
    </row>
    <row r="67" spans="1:7" x14ac:dyDescent="0.3">
      <c r="A67" s="15" t="s">
        <v>5091</v>
      </c>
      <c r="B67" s="15" t="s">
        <v>6831</v>
      </c>
      <c r="C67" s="15" t="s">
        <v>7751</v>
      </c>
      <c r="D67" s="15">
        <v>31</v>
      </c>
      <c r="E67" s="15" t="s">
        <v>9369</v>
      </c>
      <c r="F67" s="15"/>
      <c r="G67" s="15" t="s">
        <v>10095</v>
      </c>
    </row>
    <row r="68" spans="1:7" x14ac:dyDescent="0.3">
      <c r="A68" s="15" t="s">
        <v>5091</v>
      </c>
      <c r="B68" s="15" t="s">
        <v>5288</v>
      </c>
      <c r="C68" s="15" t="s">
        <v>7737</v>
      </c>
      <c r="D68" s="15">
        <v>29</v>
      </c>
      <c r="E68" s="15" t="s">
        <v>9370</v>
      </c>
      <c r="F68" s="15"/>
      <c r="G68" s="15" t="s">
        <v>9371</v>
      </c>
    </row>
    <row r="69" spans="1:7" x14ac:dyDescent="0.3">
      <c r="A69" s="15" t="s">
        <v>5091</v>
      </c>
      <c r="B69" s="15" t="s">
        <v>6572</v>
      </c>
      <c r="C69" s="15" t="s">
        <v>7739</v>
      </c>
      <c r="D69" s="15">
        <v>25</v>
      </c>
      <c r="E69" s="15" t="s">
        <v>9372</v>
      </c>
      <c r="F69" s="15"/>
      <c r="G69" s="15" t="s">
        <v>9373</v>
      </c>
    </row>
    <row r="70" spans="1:7" x14ac:dyDescent="0.3">
      <c r="A70" s="15" t="s">
        <v>5091</v>
      </c>
      <c r="B70" s="15" t="s">
        <v>2811</v>
      </c>
      <c r="C70" s="15" t="s">
        <v>7746</v>
      </c>
      <c r="D70" s="15">
        <v>23</v>
      </c>
      <c r="E70" s="15" t="s">
        <v>9374</v>
      </c>
      <c r="F70" s="15"/>
      <c r="G70" s="15" t="s">
        <v>9375</v>
      </c>
    </row>
    <row r="71" spans="1:7" x14ac:dyDescent="0.3">
      <c r="A71" s="15" t="s">
        <v>5091</v>
      </c>
      <c r="B71" s="15" t="s">
        <v>7733</v>
      </c>
      <c r="C71" s="15" t="s">
        <v>7734</v>
      </c>
      <c r="D71" s="15">
        <v>17</v>
      </c>
      <c r="E71" s="15" t="s">
        <v>9376</v>
      </c>
      <c r="F71" s="15"/>
      <c r="G71" s="15" t="s">
        <v>9377</v>
      </c>
    </row>
    <row r="72" spans="1:7" x14ac:dyDescent="0.3">
      <c r="A72" s="15" t="s">
        <v>5091</v>
      </c>
      <c r="B72" s="15" t="s">
        <v>7749</v>
      </c>
      <c r="C72" s="15" t="s">
        <v>7750</v>
      </c>
      <c r="D72" s="15">
        <v>16</v>
      </c>
      <c r="E72" s="15" t="s">
        <v>9378</v>
      </c>
      <c r="F72" s="15"/>
      <c r="G72" s="15" t="s">
        <v>9379</v>
      </c>
    </row>
    <row r="73" spans="1:7" x14ac:dyDescent="0.3">
      <c r="A73" s="15" t="s">
        <v>5091</v>
      </c>
      <c r="B73" s="15" t="s">
        <v>7731</v>
      </c>
      <c r="C73" s="15" t="s">
        <v>7732</v>
      </c>
      <c r="D73" s="15">
        <v>16</v>
      </c>
      <c r="E73" s="15" t="s">
        <v>9378</v>
      </c>
      <c r="F73" s="15"/>
      <c r="G73" s="15" t="s">
        <v>9380</v>
      </c>
    </row>
    <row r="74" spans="1:7" x14ac:dyDescent="0.3">
      <c r="A74" s="15" t="s">
        <v>5091</v>
      </c>
      <c r="B74" s="15" t="s">
        <v>828</v>
      </c>
      <c r="C74" s="15" t="s">
        <v>7735</v>
      </c>
      <c r="D74" s="15">
        <v>15</v>
      </c>
      <c r="E74" s="15" t="s">
        <v>9381</v>
      </c>
      <c r="F74" s="15"/>
      <c r="G74" s="15" t="s">
        <v>9382</v>
      </c>
    </row>
    <row r="75" spans="1:7" x14ac:dyDescent="0.3">
      <c r="A75" s="15" t="s">
        <v>5091</v>
      </c>
      <c r="B75" s="15" t="s">
        <v>6216</v>
      </c>
      <c r="C75" s="15" t="s">
        <v>7738</v>
      </c>
      <c r="D75" s="15">
        <v>13</v>
      </c>
      <c r="E75" s="15" t="s">
        <v>9383</v>
      </c>
      <c r="F75" s="15"/>
      <c r="G75" s="15" t="s">
        <v>10042</v>
      </c>
    </row>
    <row r="76" spans="1:7" x14ac:dyDescent="0.3">
      <c r="A76" s="15" t="s">
        <v>5091</v>
      </c>
      <c r="B76" s="15" t="s">
        <v>6884</v>
      </c>
      <c r="C76" s="15" t="s">
        <v>7736</v>
      </c>
      <c r="D76" s="15">
        <v>10</v>
      </c>
      <c r="E76" s="15" t="s">
        <v>9384</v>
      </c>
      <c r="F76" s="15"/>
      <c r="G76" s="15" t="s">
        <v>9385</v>
      </c>
    </row>
    <row r="77" spans="1:7" x14ac:dyDescent="0.3">
      <c r="A77" s="15" t="s">
        <v>5091</v>
      </c>
      <c r="B77" s="15" t="s">
        <v>7742</v>
      </c>
      <c r="C77" s="15" t="s">
        <v>7743</v>
      </c>
      <c r="D77" s="15">
        <v>8</v>
      </c>
      <c r="E77" s="15" t="s">
        <v>9386</v>
      </c>
      <c r="F77" s="15"/>
      <c r="G77" s="15" t="s">
        <v>9387</v>
      </c>
    </row>
    <row r="78" spans="1:7" x14ac:dyDescent="0.3">
      <c r="A78" s="15" t="s">
        <v>5091</v>
      </c>
      <c r="B78" s="15" t="s">
        <v>5388</v>
      </c>
      <c r="C78" s="15" t="s">
        <v>7744</v>
      </c>
      <c r="D78" s="15">
        <v>4</v>
      </c>
      <c r="E78" s="15" t="s">
        <v>9325</v>
      </c>
      <c r="F78" s="15"/>
      <c r="G78" s="15" t="s">
        <v>9388</v>
      </c>
    </row>
    <row r="79" spans="1:7" x14ac:dyDescent="0.3">
      <c r="A79" s="15" t="s">
        <v>5091</v>
      </c>
      <c r="B79" s="15" t="s">
        <v>5791</v>
      </c>
      <c r="C79" s="15" t="s">
        <v>7747</v>
      </c>
      <c r="D79" s="15">
        <v>1</v>
      </c>
      <c r="E79" s="15" t="s">
        <v>9319</v>
      </c>
      <c r="F79" s="15"/>
      <c r="G79" s="15" t="s">
        <v>5792</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7690</v>
      </c>
      <c r="B1" s="18" t="s">
        <v>398</v>
      </c>
      <c r="C1" s="18" t="s">
        <v>69</v>
      </c>
      <c r="D1" s="18" t="s">
        <v>9389</v>
      </c>
      <c r="E1" s="18" t="s">
        <v>9390</v>
      </c>
      <c r="F1" s="18" t="s">
        <v>9391</v>
      </c>
      <c r="G1" s="18" t="s">
        <v>6767</v>
      </c>
      <c r="H1" s="18" t="s">
        <v>9392</v>
      </c>
      <c r="I1" s="18" t="s">
        <v>9393</v>
      </c>
      <c r="J1" s="18" t="s">
        <v>9394</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9631</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9472</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9653</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9448</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10376</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10377</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9396</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9520</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9589</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9406</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9642</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9641</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9449</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9542</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9505</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9487</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9473</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9515</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9585</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9614</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9535</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9400</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4608</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4616</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4622</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4626</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4630</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4637</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4641</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4645</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4649</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4653</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4657</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4664</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4670</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4678</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4686</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4693</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4697</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4705</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4711</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4715</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4719</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4727</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4733</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4738</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4741</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4745</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4751</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4757</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4765</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4770</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4777</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4784</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4792</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4800</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4808</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4816</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4824</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4832</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4837</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4841</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4849</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4857</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4865</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4873</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4877</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4880</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4888</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4894</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4901</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4909</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4913</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4921</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4929</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4936</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4944</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4948</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4952</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4956</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4960</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4964</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4972</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4980</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4988</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4995</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5000</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5008</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5012</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5016</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5020</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5024</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5028</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5036</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5041</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5049</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5057</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5061</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5065</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5071</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5075</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5079</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5083</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5087</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5091</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5094</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5101</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5105</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5108</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5112</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5116</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5124</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5132</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5140</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5147</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5153</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5161</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5169</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5173</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5177</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5182</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5186</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5190</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5194</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5201</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5204</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5208</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5216</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5224</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5227</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5232</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5240</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5244</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5251</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5259</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5263</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5267</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9502</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5274</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5282</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5288</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5292</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5300</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5304</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5308</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5316</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5326</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5338</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5344</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5348</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5356</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5364</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5372</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5380</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5388</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5396</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5401</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5407</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5413</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5421</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5429</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5437</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5445</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5450</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5458</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5462</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5466</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5474</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5482</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5490</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5496</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5504</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5512</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5520</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5528</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5532</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5536</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5544</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5549</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5557</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5562</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5566</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5575</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5583</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5591</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5599</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5603</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5608</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5615</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5623</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5631</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5639</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5643</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5646</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5650</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5655</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5663</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5667</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5675</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5679</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5685</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5693</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5698</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5701</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5705</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5713</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5719</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5726</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5729</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5737</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5745</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5753</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5761</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5768</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5772</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5779</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5783</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5787</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5791</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5795</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5799</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5807</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5811</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5815</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5819</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5829</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5833</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5837</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5843</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5847</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5855</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5859</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5863</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5866</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5870</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5876</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5881</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5885</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5893</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5897</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5902</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5905</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5912</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5920</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5923</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5931</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5935</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5943</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5951</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5959</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5963</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5970</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5974</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5978</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5983</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5987</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5990</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5996</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6004</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6008</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6016</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6023</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6027</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6035</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6043</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6047</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6055</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6059</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6067</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6075</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6083</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6091</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6096</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6104</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6112</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6116</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6123</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6127</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6134</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6142</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6150</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6156</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6160</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6168</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6172</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6175</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6182</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6186</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6190</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6198</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6202</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6206</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6210</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6216</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6222</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6229</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6233</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6241</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6245</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6249</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6252</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6256</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6260</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6265</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6269</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6273</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6277</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6281</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6285</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6289</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6296</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6306</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6314</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6322</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6330</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6334</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6338</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6343</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6351</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6356</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6364</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6368</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6373</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6377</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6380</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6385</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6389</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6398</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6404</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6412</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6416</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6424</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6432</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6440</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6444</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6451</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6459</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6467</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6475</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6479</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6483</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6487</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6491</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6498</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9507</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6507</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6511</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6519</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6527</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6535</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6543</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6548</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6552</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6555</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6560</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6568</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6572</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6576</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6591</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6595</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6599</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6602</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6606</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6614</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6622</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6630</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6634</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6642</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6650</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6656</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6664</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6668</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6674</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6678</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6684</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6692</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6697</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6706</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6709</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6712</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6715</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6719</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6727</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6731</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6738</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6742</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6750</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6758</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6761</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6767</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6772</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6777</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6781</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6785</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6789</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6792</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6800</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6804</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6811</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6816</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6820</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6824</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6831</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6839</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6846</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6855</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6857</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6865</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6872</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6876</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6880</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6884</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6889</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6894</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6898</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9588</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6909</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6914</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6922</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6930</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6933</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6936</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6939</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6943</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6950</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6958</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6966</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6970</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6977</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6981</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6985</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9516</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6994</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7003</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7011</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7014</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7026</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7030</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7033</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7035</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7039</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7042</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7046</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7056</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7064</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7072</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7075</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7077</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7085</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7090</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7093</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7096</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7100</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7107</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7114</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7117</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7119</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7123</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7127</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7131</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7135</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7139</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7146</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7153</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7157</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7160</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7164</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7170</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7178</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7182</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7185</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7190</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7198</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7206</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7212</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7218</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7221</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7227</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7231</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7239</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7246</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7248</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7253</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7261</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7268</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9613</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7278</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7282</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7286</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7294</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7302</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7304</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7307</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7314</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7316</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7323</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7327</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7331</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7333</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7339</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7343</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7351</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7358</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7366</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7368</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7371</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7374</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7378</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7381</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7385</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7390</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7393</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7396</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7400</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7405</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7413</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9629</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7418</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7422</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7425</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7432</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7436</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7442</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7445</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7449</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7453</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7461</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7465</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7469</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7473</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7477</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7485</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7489</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7493</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7497</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7501</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7505</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7509</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7515</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7519</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7527</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7530</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7535</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7540</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7544</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7548</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7552</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7556</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7560</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7564</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7569</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7573</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7576</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7584</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7594</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7597</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7600</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7605</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7608</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7614</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7617</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7620</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7623</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7625</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7631</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7635</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7637</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7639</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7641</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7643</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7649</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7657</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7665</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2026-08-29T17:15:38Z</dcterms:modified>
</cp:coreProperties>
</file>